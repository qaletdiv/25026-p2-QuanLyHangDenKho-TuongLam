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\BSI260858 10T-VAN 0826 SEA\"/>
    </mc:Choice>
  </mc:AlternateContent>
  <bookViews>
    <workbookView windowWidth="27945" windowHeight="12060"/>
  </bookViews>
  <sheets>
    <sheet name="INVOICE" sheetId="1" r:id="rId1"/>
  </sheets>
  <definedNames>
    <definedName name="_xlnm.Print_Area" localSheetId="0">INVOICE!$A$1:$O$56</definedName>
    <definedName name="_xlnm._FilterDatabase" localSheetId="0" hidden="1">INVOICE!$A$1:$O$57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<sst xmlns="http://schemas.openxmlformats.org/spreadsheetml/2006/main" count="110" uniqueCount="96">
  <si>
    <t>毕世达服饰有限公司</t>
  </si>
  <si>
    <t>BEST STAR FASHIONS CO LIMITED</t>
  </si>
  <si>
    <t>ROOM 1305, BUILDING 4, AIJIA INTERNATIONAL MANSION, NO. 288, WUHUA ROAD, SHANGHAI, CHINA</t>
  </si>
  <si>
    <r>
      <rPr>
        <sz val="10"/>
        <rFont val="Times New Roman"/>
        <charset val="134"/>
      </rPr>
      <t>TEL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0086-21-62885798</t>
    </r>
  </si>
  <si>
    <t>CANDY@BESTSTARFASHIONS.COM.CN</t>
  </si>
  <si>
    <r>
      <rPr>
        <sz val="10"/>
        <rFont val="Times New Roman"/>
        <charset val="134"/>
      </rPr>
      <t>FAX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0086-21-62885796</t>
    </r>
  </si>
  <si>
    <t>COMMERCIAL INVOICE</t>
  </si>
  <si>
    <t>SOLD TO/BILL TO:</t>
  </si>
  <si>
    <t>TENTREE INTERNATIONAL</t>
  </si>
  <si>
    <t xml:space="preserve">          Inv.NO:</t>
  </si>
  <si>
    <t>BSI260858</t>
  </si>
  <si>
    <t>1275 VENABLES, UNIT 230</t>
  </si>
  <si>
    <t xml:space="preserve">         S/C NO:</t>
  </si>
  <si>
    <t>VANCOUVER, BC  V6A 2E4  CANADA</t>
  </si>
  <si>
    <t>Phone (604)829-2706</t>
  </si>
  <si>
    <t>SHIP Date:</t>
  </si>
  <si>
    <t>26th August 2026</t>
  </si>
  <si>
    <t>ACCOUNTING@TENTREE.COM</t>
  </si>
  <si>
    <t>INV Date:</t>
  </si>
  <si>
    <t>25th August 2026</t>
  </si>
  <si>
    <t>SHIP MODE:</t>
  </si>
  <si>
    <t>SEA FREIGHT-----CN107391435</t>
  </si>
  <si>
    <t>CONSIGNEE/SHIP TO:</t>
  </si>
  <si>
    <t>JETSON</t>
  </si>
  <si>
    <t>197  FORESTER STREET</t>
  </si>
  <si>
    <t>COUNTRY OF ORIGIN:</t>
  </si>
  <si>
    <t>CHINA</t>
  </si>
  <si>
    <t>SUITE 204</t>
  </si>
  <si>
    <t>TERMS OF PAYMENT:</t>
  </si>
  <si>
    <t>50/50</t>
  </si>
  <si>
    <t>NORTH VANCOUVER BC V7H0A6</t>
  </si>
  <si>
    <t>CANADA</t>
  </si>
  <si>
    <t>REF 10T PO#:</t>
  </si>
  <si>
    <t>PO04825-TRN-2103</t>
  </si>
  <si>
    <t>FROM:</t>
  </si>
  <si>
    <t>SHANGHAI</t>
  </si>
  <si>
    <r>
      <rPr>
        <sz val="12"/>
        <rFont val="Times New Roman"/>
        <charset val="134"/>
      </rPr>
      <t xml:space="preserve">       </t>
    </r>
    <r>
      <rPr>
        <sz val="11"/>
        <rFont val="Times New Roman"/>
        <charset val="134"/>
      </rPr>
      <t xml:space="preserve">    TO:</t>
    </r>
  </si>
  <si>
    <t>VAN</t>
  </si>
  <si>
    <t>Issued by:</t>
  </si>
  <si>
    <t>T/T</t>
  </si>
  <si>
    <t>MARKS&amp;NO.</t>
  </si>
  <si>
    <t>QUANTITIES  AND DESCRIPTION</t>
  </si>
  <si>
    <t xml:space="preserve">STYLE </t>
  </si>
  <si>
    <t>CUSTOMER PO</t>
  </si>
  <si>
    <t>manufacturer Name:Nanchang Weijia Garments Co. Ltd.</t>
  </si>
  <si>
    <t>SIZE</t>
  </si>
  <si>
    <t>Address:Nanchang City, Jiangxi</t>
  </si>
  <si>
    <t>QTY</t>
  </si>
  <si>
    <t>PO#</t>
  </si>
  <si>
    <t>SKU</t>
  </si>
  <si>
    <t>UPC</t>
  </si>
  <si>
    <t>Style Description</t>
  </si>
  <si>
    <t>Color Description</t>
  </si>
  <si>
    <t>Knit/Woven</t>
  </si>
  <si>
    <t>Category</t>
  </si>
  <si>
    <t xml:space="preserve">Gender </t>
  </si>
  <si>
    <t>Composition</t>
  </si>
  <si>
    <t>HTS Code</t>
  </si>
  <si>
    <t>Quantity</t>
  </si>
  <si>
    <t>Unit Price USD</t>
  </si>
  <si>
    <t>Total USD</t>
  </si>
  <si>
    <t>NET WT</t>
  </si>
  <si>
    <t>po 04825</t>
  </si>
  <si>
    <t>TCM7123-5591-S</t>
  </si>
  <si>
    <t>661814908144</t>
  </si>
  <si>
    <t>M Jetson Colville Shacket</t>
  </si>
  <si>
    <t>Forest Pine Heather</t>
  </si>
  <si>
    <t>Knit</t>
  </si>
  <si>
    <t>Shacket</t>
  </si>
  <si>
    <t>Mens</t>
  </si>
  <si>
    <t>55% Recycled Polyester, 45% Organic Cotton</t>
  </si>
  <si>
    <t>6105.20.00.30</t>
  </si>
  <si>
    <t>GROSS WT</t>
  </si>
  <si>
    <t>TCM7123-5591-M</t>
  </si>
  <si>
    <t>661814908151</t>
  </si>
  <si>
    <t>MEASUREMENT</t>
  </si>
  <si>
    <t>TCM7123-5591-L</t>
  </si>
  <si>
    <t>661814908168</t>
  </si>
  <si>
    <t>TCM7123-5591-XL</t>
  </si>
  <si>
    <t>661814908137</t>
  </si>
  <si>
    <t>TCM7123-5591-XXL</t>
  </si>
  <si>
    <t>661814908120</t>
  </si>
  <si>
    <t>by SEA</t>
  </si>
  <si>
    <t>77 CTNS</t>
  </si>
  <si>
    <t>1000 PCS</t>
  </si>
  <si>
    <t>TOTAL</t>
  </si>
  <si>
    <t xml:space="preserve">SAY U.S.DOLLARS  </t>
  </si>
  <si>
    <t>EIGHTEEN THOUSAND</t>
  </si>
  <si>
    <t>TWO HUNDRED AND THIRTY  ONLY</t>
  </si>
  <si>
    <t>Beneficiary:      BEST STAR FASHIONS CO., LTD</t>
  </si>
  <si>
    <t>bank name：    CHONG HING BANK LIMITED (HK)</t>
  </si>
  <si>
    <t xml:space="preserve">bank address:      chong hing bank centre, 24 des voeux road central (HK)          </t>
  </si>
  <si>
    <t>swift code:          LCHBHKHH</t>
  </si>
  <si>
    <t>account number:  041-256-80-171260-0</t>
  </si>
  <si>
    <t>*** ANY GOODS THIS INVOICE IS FOR BELONG TO BEST STAR FASHIONS CO.,LTD BEFORE THE PAYMENTS</t>
  </si>
  <si>
    <t>HAVE BEEN MADE FOR THIS INVOICE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</si>
</sst>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_-&quot;$&quot;* #,##0.00_-;\-&quot;$&quot;* #,##0.00_-;_-&quot;$&quot;* &quot;-&quot;??_-;_-@"/>
  </numFmts>
  <fonts count="54">
    <font>
      <sz val="12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4"/>
      <name val="Times New Roman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u/>
      <sz val="12"/>
      <name val="宋体"/>
      <charset val="134"/>
    </font>
    <font>
      <sz val="9"/>
      <name val="宋体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b/>
      <sz val="11"/>
      <name val="宋体"/>
      <charset val="134"/>
    </font>
    <font>
      <b/>
      <u/>
      <sz val="11"/>
      <name val="宋体"/>
      <charset val="134"/>
    </font>
    <font>
      <u/>
      <sz val="10"/>
      <color indexed="12"/>
      <name val="宋体"/>
      <charset val="134"/>
    </font>
    <font>
      <b/>
      <sz val="12"/>
      <name val="宋体"/>
      <charset val="134"/>
    </font>
    <font>
      <b/>
      <u/>
      <sz val="12"/>
      <name val="宋体"/>
      <charset val="134"/>
    </font>
    <font>
      <b/>
      <u/>
      <sz val="10"/>
      <name val="宋体"/>
      <charset val="134"/>
    </font>
    <font>
      <u/>
      <sz val="10"/>
      <name val="宋体"/>
      <charset val="134"/>
    </font>
    <font>
      <sz val="10"/>
      <name val="等线"/>
      <charset val="134"/>
      <scheme val="minor"/>
    </font>
    <font>
      <u/>
      <sz val="10"/>
      <name val="等线"/>
      <charset val="134"/>
      <scheme val="minor"/>
    </font>
    <font>
      <sz val="12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sz val="9"/>
      <name val="Times New Roman"/>
      <charset val="134"/>
    </font>
    <font>
      <sz val="10"/>
      <name val="Arial"/>
      <charset val="134"/>
    </font>
    <font>
      <b/>
      <sz val="12"/>
      <name val="Times New Roman"/>
      <charset val="134"/>
    </font>
    <font>
      <b/>
      <sz val="10"/>
      <name val="Calibri"/>
      <charset val="134"/>
    </font>
    <font>
      <sz val="10"/>
      <name val="Aptos Narrow"/>
      <charset val="134"/>
    </font>
    <font>
      <sz val="11"/>
      <name val="Arial"/>
      <charset val="134"/>
    </font>
    <font>
      <sz val="9"/>
      <name val="Aptos Narrow"/>
      <charset val="134"/>
    </font>
    <font>
      <sz val="11"/>
      <name val="Aptos Narrow"/>
      <charset val="134"/>
    </font>
    <font>
      <sz val="10"/>
      <name val="Calibri"/>
      <charset val="134"/>
    </font>
    <font>
      <sz val="11"/>
      <name val="等线"/>
      <charset val="134"/>
      <scheme val="minor"/>
    </font>
    <font>
      <b/>
      <sz val="14"/>
      <name val="宋体"/>
      <charset val="134"/>
    </font>
    <font>
      <sz val="11"/>
      <color theme="1"/>
      <name val="等线"/>
      <charset val="134"/>
      <scheme val="minor"/>
    </font>
    <font>
      <u/>
      <sz val="12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Verdan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center"/>
    </xf>
    <xf numFmtId="0" fontId="33" fillId="3" borderId="14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5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4" borderId="17" applyNumberFormat="0" applyAlignment="0" applyProtection="0">
      <alignment vertical="center"/>
    </xf>
    <xf numFmtId="0" fontId="43" fillId="5" borderId="18" applyNumberFormat="0" applyAlignment="0" applyProtection="0">
      <alignment vertical="center"/>
    </xf>
    <xf numFmtId="0" fontId="44" fillId="5" borderId="17" applyNumberFormat="0" applyAlignment="0" applyProtection="0">
      <alignment vertical="center"/>
    </xf>
    <xf numFmtId="0" fontId="45" fillId="6" borderId="19" applyNumberFormat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3" fillId="0" borderId="0"/>
  </cellStyleXfs>
  <cellXfs count="120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6" applyFont="1" applyAlignment="1" applyProtection="1"/>
    <xf numFmtId="0" fontId="6" fillId="0" borderId="0" xfId="6" applyFont="1" applyAlignment="1" applyProtection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6" applyFont="1" applyFill="1" applyAlignment="1" applyProtection="1"/>
    <xf numFmtId="0" fontId="1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14" fillId="0" borderId="0" xfId="0" applyFont="1" applyAlignment="1">
      <alignment horizontal="center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" fillId="0" borderId="0" xfId="0" applyFont="1" applyAlignment="1" applyProtection="1">
      <protection locked="0"/>
    </xf>
    <xf numFmtId="0" fontId="15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/>
    <xf numFmtId="0" fontId="17" fillId="0" borderId="0" xfId="6" applyFont="1" applyAlignment="1" applyProtection="1">
      <protection locked="0"/>
    </xf>
    <xf numFmtId="0" fontId="18" fillId="0" borderId="0" xfId="6" applyFont="1" applyAlignment="1" applyProtection="1">
      <alignment horizontal="left"/>
      <protection locked="0"/>
    </xf>
    <xf numFmtId="0" fontId="18" fillId="0" borderId="0" xfId="6" applyFont="1" applyAlignment="1" applyProtection="1">
      <alignment horizontal="center"/>
      <protection locked="0"/>
    </xf>
    <xf numFmtId="0" fontId="16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8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4" xfId="0" applyFont="1" applyBorder="1"/>
    <xf numFmtId="0" fontId="0" fillId="0" borderId="0" xfId="0" applyFont="1" applyBorder="1" applyAlignment="1">
      <alignment horizontal="center"/>
    </xf>
    <xf numFmtId="0" fontId="0" fillId="0" borderId="5" xfId="0" applyFont="1" applyBorder="1"/>
    <xf numFmtId="0" fontId="0" fillId="0" borderId="6" xfId="0" applyFont="1" applyBorder="1"/>
    <xf numFmtId="0" fontId="0" fillId="0" borderId="4" xfId="0" applyFont="1" applyFill="1" applyBorder="1" applyAlignment="1">
      <alignment horizontal="left"/>
    </xf>
    <xf numFmtId="49" fontId="22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176" fontId="23" fillId="0" borderId="0" xfId="0" applyNumberFormat="1" applyFont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176" fontId="23" fillId="0" borderId="0" xfId="0" applyNumberFormat="1" applyFont="1" applyBorder="1"/>
    <xf numFmtId="0" fontId="23" fillId="0" borderId="0" xfId="0" applyFont="1"/>
    <xf numFmtId="0" fontId="0" fillId="0" borderId="7" xfId="0" applyFont="1" applyBorder="1"/>
    <xf numFmtId="0" fontId="24" fillId="0" borderId="4" xfId="0" applyFont="1" applyBorder="1" applyAlignment="1">
      <alignment horizontal="left"/>
    </xf>
    <xf numFmtId="0" fontId="17" fillId="0" borderId="0" xfId="0" applyFont="1" applyAlignment="1" applyProtection="1">
      <alignment horizontal="center"/>
      <protection locked="0"/>
    </xf>
    <xf numFmtId="0" fontId="23" fillId="0" borderId="0" xfId="0" applyFont="1" applyAlignment="1">
      <alignment horizontal="center" vertical="center"/>
    </xf>
    <xf numFmtId="0" fontId="0" fillId="2" borderId="4" xfId="0" applyFont="1" applyFill="1" applyBorder="1"/>
    <xf numFmtId="49" fontId="22" fillId="2" borderId="0" xfId="0" applyNumberFormat="1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0" fillId="2" borderId="8" xfId="0" applyFont="1" applyFill="1" applyBorder="1" applyAlignment="1">
      <alignment horizontal="left"/>
    </xf>
    <xf numFmtId="49" fontId="22" fillId="2" borderId="9" xfId="0" applyNumberFormat="1" applyFont="1" applyFill="1" applyBorder="1" applyAlignment="1">
      <alignment horizontal="center"/>
    </xf>
    <xf numFmtId="0" fontId="23" fillId="0" borderId="9" xfId="0" applyFont="1" applyBorder="1" applyAlignment="1">
      <alignment horizontal="center"/>
    </xf>
    <xf numFmtId="176" fontId="23" fillId="0" borderId="9" xfId="0" applyNumberFormat="1" applyFont="1" applyBorder="1" applyAlignment="1">
      <alignment horizontal="center"/>
    </xf>
    <xf numFmtId="0" fontId="23" fillId="0" borderId="9" xfId="0" applyFont="1" applyFill="1" applyBorder="1" applyAlignment="1">
      <alignment horizontal="center"/>
    </xf>
    <xf numFmtId="176" fontId="23" fillId="0" borderId="9" xfId="0" applyNumberFormat="1" applyFont="1" applyBorder="1"/>
    <xf numFmtId="0" fontId="23" fillId="0" borderId="9" xfId="0" applyFont="1" applyBorder="1"/>
    <xf numFmtId="0" fontId="1" fillId="0" borderId="9" xfId="0" applyFont="1" applyBorder="1"/>
    <xf numFmtId="0" fontId="0" fillId="0" borderId="9" xfId="0" applyFont="1" applyBorder="1"/>
    <xf numFmtId="0" fontId="0" fillId="0" borderId="10" xfId="0" applyFont="1" applyBorder="1"/>
    <xf numFmtId="0" fontId="25" fillId="0" borderId="11" xfId="0" applyFont="1" applyFill="1" applyBorder="1" applyAlignment="1">
      <alignment horizontal="center" vertical="center" wrapText="1"/>
    </xf>
    <xf numFmtId="0" fontId="25" fillId="0" borderId="12" xfId="0" applyFont="1" applyFill="1" applyBorder="1" applyAlignment="1">
      <alignment horizontal="center" vertical="center" wrapText="1"/>
    </xf>
    <xf numFmtId="0" fontId="25" fillId="0" borderId="13" xfId="0" applyFont="1" applyFill="1" applyBorder="1" applyAlignment="1">
      <alignment horizontal="center" vertical="center" wrapText="1"/>
    </xf>
    <xf numFmtId="0" fontId="26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27" fillId="0" borderId="13" xfId="0" applyFont="1" applyFill="1" applyBorder="1" applyAlignment="1">
      <alignment horizontal="left"/>
    </xf>
    <xf numFmtId="0" fontId="28" fillId="0" borderId="13" xfId="0" applyFont="1" applyFill="1" applyBorder="1" applyAlignment="1">
      <alignment horizontal="left" wrapText="1"/>
    </xf>
    <xf numFmtId="0" fontId="29" fillId="0" borderId="1" xfId="0" applyFont="1" applyFill="1" applyBorder="1" applyAlignment="1">
      <alignment horizontal="left"/>
    </xf>
    <xf numFmtId="0" fontId="29" fillId="0" borderId="13" xfId="0" applyFont="1" applyFill="1" applyBorder="1" applyAlignment="1">
      <alignment horizontal="center"/>
    </xf>
    <xf numFmtId="177" fontId="29" fillId="0" borderId="13" xfId="0" applyNumberFormat="1" applyFont="1" applyFill="1" applyBorder="1" applyAlignment="1">
      <alignment horizontal="center" vertical="center"/>
    </xf>
    <xf numFmtId="177" fontId="29" fillId="0" borderId="13" xfId="0" applyNumberFormat="1" applyFont="1" applyFill="1" applyBorder="1" applyAlignment="1">
      <alignment horizontal="center"/>
    </xf>
    <xf numFmtId="0" fontId="23" fillId="0" borderId="13" xfId="0" applyFont="1" applyFill="1" applyBorder="1" applyAlignment="1">
      <alignment horizontal="center" vertical="center" wrapText="1"/>
    </xf>
    <xf numFmtId="0" fontId="29" fillId="0" borderId="13" xfId="0" applyFont="1" applyFill="1" applyBorder="1" applyAlignment="1">
      <alignment horizontal="left"/>
    </xf>
    <xf numFmtId="177" fontId="29" fillId="0" borderId="6" xfId="0" applyNumberFormat="1" applyFont="1" applyFill="1" applyBorder="1" applyAlignment="1">
      <alignment horizontal="center"/>
    </xf>
    <xf numFmtId="0" fontId="26" fillId="0" borderId="13" xfId="0" applyFont="1" applyFill="1" applyBorder="1" applyAlignment="1">
      <alignment vertical="center"/>
    </xf>
    <xf numFmtId="1" fontId="29" fillId="0" borderId="13" xfId="0" applyNumberFormat="1" applyFont="1" applyFill="1" applyBorder="1" applyAlignment="1">
      <alignment horizontal="left"/>
    </xf>
    <xf numFmtId="0" fontId="29" fillId="0" borderId="13" xfId="0" applyFont="1" applyFill="1" applyBorder="1" applyAlignment="1"/>
    <xf numFmtId="0" fontId="30" fillId="0" borderId="1" xfId="0" applyFont="1" applyFill="1" applyBorder="1" applyAlignment="1">
      <alignment wrapText="1"/>
    </xf>
    <xf numFmtId="0" fontId="30" fillId="0" borderId="3" xfId="0" applyFont="1" applyFill="1" applyBorder="1" applyAlignment="1">
      <alignment wrapText="1"/>
    </xf>
    <xf numFmtId="0" fontId="30" fillId="0" borderId="3" xfId="0" applyFont="1" applyFill="1" applyBorder="1" applyAlignment="1">
      <alignment horizontal="center" wrapText="1"/>
    </xf>
    <xf numFmtId="0" fontId="29" fillId="0" borderId="3" xfId="0" applyFont="1" applyFill="1" applyBorder="1" applyAlignment="1"/>
    <xf numFmtId="0" fontId="29" fillId="0" borderId="1" xfId="0" applyFont="1" applyFill="1" applyBorder="1" applyAlignment="1">
      <alignment horizontal="center"/>
    </xf>
    <xf numFmtId="177" fontId="29" fillId="0" borderId="2" xfId="0" applyNumberFormat="1" applyFont="1" applyFill="1" applyBorder="1" applyAlignment="1">
      <alignment horizontal="center"/>
    </xf>
    <xf numFmtId="0" fontId="23" fillId="0" borderId="4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0" fontId="31" fillId="0" borderId="0" xfId="0" applyFont="1" applyFill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0" xfId="0" applyFont="1" applyBorder="1"/>
    <xf numFmtId="0" fontId="1" fillId="0" borderId="0" xfId="0" applyFont="1" applyBorder="1"/>
    <xf numFmtId="0" fontId="0" fillId="0" borderId="0" xfId="0" applyFont="1" applyBorder="1"/>
    <xf numFmtId="0" fontId="31" fillId="0" borderId="0" xfId="0" applyFont="1" applyFill="1" applyAlignment="1">
      <alignment horizontal="center"/>
    </xf>
    <xf numFmtId="176" fontId="23" fillId="0" borderId="0" xfId="0" applyNumberFormat="1" applyFont="1"/>
    <xf numFmtId="0" fontId="23" fillId="0" borderId="8" xfId="0" applyFont="1" applyBorder="1" applyAlignment="1">
      <alignment horizontal="left"/>
    </xf>
    <xf numFmtId="0" fontId="23" fillId="0" borderId="9" xfId="0" applyFont="1" applyBorder="1" applyAlignment="1">
      <alignment horizontal="left"/>
    </xf>
    <xf numFmtId="0" fontId="31" fillId="0" borderId="9" xfId="0" applyFont="1" applyFill="1" applyBorder="1" applyAlignment="1">
      <alignment horizontal="center"/>
    </xf>
    <xf numFmtId="0" fontId="23" fillId="0" borderId="9" xfId="0" applyFont="1" applyBorder="1" applyAlignment="1">
      <alignment horizontal="center" vertical="center"/>
    </xf>
    <xf numFmtId="2" fontId="23" fillId="0" borderId="9" xfId="0" applyNumberFormat="1" applyFont="1" applyBorder="1" applyAlignment="1">
      <alignment horizontal="right"/>
    </xf>
    <xf numFmtId="176" fontId="32" fillId="0" borderId="10" xfId="0" applyNumberFormat="1" applyFont="1" applyBorder="1"/>
    <xf numFmtId="0" fontId="23" fillId="0" borderId="0" xfId="0" applyFont="1" applyAlignment="1">
      <alignment horizontal="left"/>
    </xf>
    <xf numFmtId="176" fontId="23" fillId="0" borderId="0" xfId="0" applyNumberFormat="1" applyFont="1" applyAlignment="1">
      <alignment horizontal="center"/>
    </xf>
    <xf numFmtId="2" fontId="23" fillId="0" borderId="0" xfId="0" applyNumberFormat="1" applyFont="1" applyAlignment="1">
      <alignment horizontal="right"/>
    </xf>
    <xf numFmtId="0" fontId="13" fillId="0" borderId="0" xfId="0" applyFont="1"/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13" xfId="0" applyFont="1" applyFill="1" applyBorder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3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ANDY@BESTSTARFASHIONS.COM.CN" TargetMode="External"/><Relationship Id="rId1" Type="http://schemas.openxmlformats.org/officeDocument/2006/relationships/hyperlink" Target="mailto:ACCOUNTING@TENTRE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tabSelected="1" view="pageBreakPreview" zoomScaleNormal="100" workbookViewId="0">
      <selection activeCell="H12" sqref="H12"/>
    </sheetView>
  </sheetViews>
  <sheetFormatPr defaultColWidth="9.75" defaultRowHeight="14.25"/>
  <cols>
    <col min="1" max="1" width="15.5" customWidth="1"/>
    <col min="2" max="2" width="8.25" customWidth="1"/>
    <col min="3" max="3" width="12.625" style="2" customWidth="1"/>
    <col min="4" max="4" width="19.125" style="2" customWidth="1"/>
    <col min="5" max="5" width="18" style="3" customWidth="1"/>
    <col min="6" max="6" width="19.875" style="3" customWidth="1"/>
    <col min="7" max="7" width="21" style="3" customWidth="1"/>
    <col min="8" max="8" width="9.375" style="3" customWidth="1"/>
    <col min="9" max="9" width="9.875" style="2" customWidth="1"/>
    <col min="10" max="10" width="9.75" style="2"/>
    <col min="11" max="11" width="20" style="2" customWidth="1"/>
    <col min="12" max="12" width="14.375" style="2" customWidth="1"/>
    <col min="13" max="13" width="11.5" style="2"/>
    <col min="14" max="14" width="9.75" style="2"/>
    <col min="15" max="15" width="14.625" style="2" customWidth="1"/>
  </cols>
  <sheetData>
    <row r="1" ht="26.25" customHeight="1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18.75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="1" customFormat="1" ht="12.75" customHeight="1" spans="1:15">
      <c r="A4" s="7"/>
      <c r="B4" s="7"/>
      <c r="C4" s="7" t="s">
        <v>3</v>
      </c>
      <c r="D4" s="8" t="s">
        <v>4</v>
      </c>
      <c r="E4" s="9"/>
      <c r="F4" s="10"/>
      <c r="G4" s="10"/>
      <c r="H4" s="10"/>
      <c r="I4" s="7"/>
      <c r="J4" s="7"/>
      <c r="K4" s="10" t="s">
        <v>5</v>
      </c>
    </row>
    <row r="5" ht="18.75" spans="1:15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5" spans="1:15">
      <c r="A6" s="10" t="s">
        <v>7</v>
      </c>
      <c r="B6" s="7" t="s">
        <v>8</v>
      </c>
      <c r="C6" s="1"/>
      <c r="D6" s="11"/>
      <c r="E6" s="12"/>
      <c r="G6" s="13"/>
      <c r="I6" s="14"/>
      <c r="J6" s="15"/>
      <c r="L6" s="13" t="s">
        <v>9</v>
      </c>
      <c r="M6" s="14" t="s">
        <v>10</v>
      </c>
      <c r="N6" s="15"/>
    </row>
    <row r="7" ht="15" spans="1:15">
      <c r="A7" s="1"/>
      <c r="B7" s="1" t="s">
        <v>11</v>
      </c>
      <c r="C7" s="1"/>
      <c r="D7" s="11"/>
      <c r="E7" s="12"/>
      <c r="G7" s="13"/>
      <c r="L7" s="13" t="s">
        <v>12</v>
      </c>
    </row>
    <row r="8" spans="1:15">
      <c r="A8" s="1"/>
      <c r="B8" s="1" t="s">
        <v>13</v>
      </c>
      <c r="C8" s="1"/>
      <c r="D8" s="11"/>
      <c r="E8" s="12"/>
      <c r="L8" s="3"/>
    </row>
    <row r="9" ht="15" spans="1:15">
      <c r="A9" s="1"/>
      <c r="B9" s="1" t="s">
        <v>14</v>
      </c>
      <c r="C9" s="1"/>
      <c r="D9" s="11"/>
      <c r="E9" s="12"/>
      <c r="G9" s="13"/>
      <c r="I9" s="16"/>
      <c r="J9" s="17"/>
      <c r="L9" s="13" t="s">
        <v>15</v>
      </c>
      <c r="M9" s="16" t="s">
        <v>16</v>
      </c>
      <c r="N9" s="17"/>
    </row>
    <row r="10" ht="15" spans="1:15">
      <c r="A10" s="1"/>
      <c r="B10" s="18" t="s">
        <v>17</v>
      </c>
      <c r="C10" s="1"/>
      <c r="D10" s="11"/>
      <c r="E10" s="12"/>
      <c r="G10" s="13"/>
      <c r="I10" s="16"/>
      <c r="J10" s="17"/>
      <c r="L10" s="13" t="s">
        <v>18</v>
      </c>
      <c r="M10" s="16" t="s">
        <v>19</v>
      </c>
      <c r="N10" s="17"/>
    </row>
    <row r="11" ht="15" spans="1:15">
      <c r="A11" s="1"/>
      <c r="B11" s="1"/>
      <c r="C11" s="1"/>
      <c r="D11" s="11"/>
      <c r="E11" s="12"/>
      <c r="G11" s="13"/>
      <c r="I11" s="19"/>
      <c r="L11" s="13" t="s">
        <v>20</v>
      </c>
      <c r="M11" s="19" t="s">
        <v>21</v>
      </c>
    </row>
    <row r="12" ht="15" spans="1:15">
      <c r="A12" s="20" t="s">
        <v>22</v>
      </c>
      <c r="B12" s="21" t="s">
        <v>23</v>
      </c>
      <c r="C12" s="21"/>
      <c r="D12" s="21"/>
      <c r="E12" s="22"/>
      <c r="G12" s="13"/>
      <c r="I12" s="19"/>
      <c r="L12" s="13"/>
      <c r="M12" s="23"/>
    </row>
    <row r="13" spans="1:15">
      <c r="A13" s="1"/>
      <c r="B13" s="24" t="s">
        <v>24</v>
      </c>
      <c r="C13" s="24"/>
      <c r="D13" s="25"/>
      <c r="E13" s="26"/>
      <c r="G13" s="10"/>
      <c r="I13" s="19"/>
      <c r="K13" s="27" t="s">
        <v>25</v>
      </c>
      <c r="L13" s="27"/>
      <c r="M13" s="28" t="s">
        <v>26</v>
      </c>
    </row>
    <row r="14" spans="1:15">
      <c r="A14" s="1"/>
      <c r="B14" s="29" t="s">
        <v>27</v>
      </c>
      <c r="C14" s="24"/>
      <c r="D14" s="25"/>
      <c r="E14" s="26"/>
      <c r="G14" s="10"/>
      <c r="I14" s="19"/>
      <c r="K14" s="27" t="s">
        <v>28</v>
      </c>
      <c r="L14" s="27"/>
      <c r="M14" s="30" t="s">
        <v>29</v>
      </c>
    </row>
    <row r="15" ht="15" spans="1:15">
      <c r="B15" s="24" t="s">
        <v>30</v>
      </c>
      <c r="C15" s="29"/>
      <c r="D15" s="25"/>
      <c r="E15" s="26"/>
      <c r="G15" s="13"/>
      <c r="I15" s="23"/>
      <c r="L15" s="13"/>
      <c r="M15" s="23"/>
    </row>
    <row r="16" ht="15" spans="1:15">
      <c r="B16" s="24" t="s">
        <v>31</v>
      </c>
      <c r="C16" s="25"/>
      <c r="D16" s="25"/>
      <c r="E16" s="26"/>
      <c r="G16" s="13"/>
      <c r="I16" s="31"/>
      <c r="J16" s="31"/>
      <c r="K16" s="32"/>
      <c r="L16" s="13" t="s">
        <v>32</v>
      </c>
      <c r="M16" s="31" t="s">
        <v>33</v>
      </c>
      <c r="N16" s="31"/>
      <c r="O16" s="32"/>
    </row>
    <row r="17" ht="15" spans="1:15">
      <c r="B17" s="33"/>
      <c r="C17" s="33"/>
      <c r="D17" s="34"/>
      <c r="E17" s="35"/>
      <c r="G17" s="13"/>
      <c r="I17" s="36"/>
      <c r="J17" s="36"/>
      <c r="K17" s="36"/>
      <c r="L17" s="36"/>
      <c r="M17" s="31"/>
    </row>
    <row r="18" ht="15" spans="1:15">
      <c r="B18" s="33"/>
      <c r="C18" s="33"/>
      <c r="D18" s="34"/>
      <c r="E18" s="35"/>
      <c r="G18" s="13"/>
      <c r="I18" s="36"/>
      <c r="J18" s="36"/>
      <c r="K18" s="36"/>
      <c r="L18" s="36"/>
      <c r="M18" s="36"/>
    </row>
    <row r="19" ht="15" spans="1:15">
      <c r="B19" s="33"/>
      <c r="C19" s="33"/>
      <c r="D19" s="34"/>
      <c r="E19" s="35"/>
      <c r="G19" s="13"/>
      <c r="I19" s="36"/>
      <c r="J19" s="36"/>
      <c r="K19" s="36"/>
      <c r="L19" s="36"/>
      <c r="M19" s="36"/>
    </row>
    <row r="20" ht="15.75" spans="1:15">
      <c r="A20" s="37" t="s">
        <v>34</v>
      </c>
      <c r="B20" s="38" t="s">
        <v>35</v>
      </c>
      <c r="C20" s="1"/>
      <c r="D20" s="11"/>
      <c r="E20" s="12"/>
      <c r="F20" s="39"/>
      <c r="H20" s="40"/>
      <c r="I20" s="41"/>
      <c r="J20" s="42"/>
      <c r="K20" s="37"/>
      <c r="L20" s="37" t="s">
        <v>36</v>
      </c>
      <c r="M20" s="39" t="s">
        <v>37</v>
      </c>
    </row>
    <row r="21" ht="15.75" spans="1:15">
      <c r="A21" s="37"/>
      <c r="B21" s="38"/>
      <c r="C21" s="1"/>
      <c r="D21" s="11"/>
      <c r="E21" s="12"/>
      <c r="F21" s="39"/>
      <c r="H21" s="40"/>
      <c r="I21" s="41"/>
      <c r="J21" s="42"/>
      <c r="K21" s="42"/>
      <c r="L21" s="42"/>
    </row>
    <row r="22" ht="15.75" spans="1:15">
      <c r="A22" s="38"/>
      <c r="C22" s="1"/>
      <c r="D22" s="11"/>
      <c r="E22" s="12"/>
      <c r="F22" s="13"/>
      <c r="H22" s="40"/>
      <c r="K22" s="40"/>
      <c r="L22" s="40" t="s">
        <v>38</v>
      </c>
      <c r="M22" s="13" t="s">
        <v>39</v>
      </c>
    </row>
    <row r="23" ht="15" spans="1:15">
      <c r="A23" s="43" t="s">
        <v>40</v>
      </c>
      <c r="B23" s="44"/>
      <c r="C23" s="45" t="s">
        <v>41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</row>
    <row r="24" spans="1:15">
      <c r="C24" s="48"/>
      <c r="D24" s="11"/>
      <c r="E24" s="12"/>
      <c r="G24" s="49"/>
      <c r="I24" s="50"/>
      <c r="J24" s="50"/>
      <c r="K24" s="50"/>
      <c r="L24" s="50"/>
      <c r="M24" s="50"/>
      <c r="N24" s="50"/>
      <c r="O24" s="51"/>
    </row>
    <row r="25" spans="1:15">
      <c r="A25" s="7" t="s">
        <v>8</v>
      </c>
      <c r="C25" s="52"/>
      <c r="D25" s="53"/>
      <c r="E25" s="53"/>
      <c r="F25" s="54"/>
      <c r="G25" s="55"/>
      <c r="H25" s="56"/>
      <c r="I25" s="57"/>
      <c r="J25" s="58"/>
      <c r="K25" s="1"/>
      <c r="O25" s="59"/>
    </row>
    <row r="26" ht="15.75" spans="1:15">
      <c r="A26" s="38" t="s">
        <v>42</v>
      </c>
      <c r="C26" s="60" t="s">
        <v>33</v>
      </c>
      <c r="D26" s="61"/>
      <c r="E26" s="61"/>
      <c r="F26" s="54"/>
      <c r="G26" s="55"/>
      <c r="H26" s="62"/>
      <c r="I26" s="57"/>
      <c r="J26" s="58"/>
      <c r="K26" s="1"/>
      <c r="O26" s="59"/>
    </row>
    <row r="27" ht="15" spans="1:15">
      <c r="A27" s="38" t="s">
        <v>43</v>
      </c>
      <c r="C27" s="63" t="s">
        <v>44</v>
      </c>
      <c r="D27" s="64"/>
      <c r="E27" s="64"/>
      <c r="F27" s="54"/>
      <c r="G27" s="55"/>
      <c r="H27" s="65"/>
      <c r="I27" s="57"/>
      <c r="J27" s="58"/>
      <c r="K27" s="1"/>
      <c r="O27" s="59"/>
    </row>
    <row r="28" ht="15" spans="1:15">
      <c r="A28" s="38" t="s">
        <v>45</v>
      </c>
      <c r="C28" s="66" t="s">
        <v>46</v>
      </c>
      <c r="D28" s="67"/>
      <c r="E28" s="67"/>
      <c r="F28" s="68"/>
      <c r="G28" s="69"/>
      <c r="H28" s="70"/>
      <c r="I28" s="71"/>
      <c r="J28" s="72"/>
      <c r="K28" s="73"/>
      <c r="L28" s="74"/>
      <c r="M28" s="74"/>
      <c r="N28" s="74"/>
      <c r="O28" s="75"/>
    </row>
    <row r="29" ht="25.5" spans="1:15">
      <c r="A29" s="38" t="s">
        <v>47</v>
      </c>
      <c r="C29" s="76" t="s">
        <v>48</v>
      </c>
      <c r="D29" s="76" t="s">
        <v>49</v>
      </c>
      <c r="E29" s="76" t="s">
        <v>50</v>
      </c>
      <c r="F29" s="76" t="s">
        <v>51</v>
      </c>
      <c r="G29" s="76" t="s">
        <v>52</v>
      </c>
      <c r="H29" s="76" t="s">
        <v>53</v>
      </c>
      <c r="I29" s="76" t="s">
        <v>54</v>
      </c>
      <c r="J29" s="76" t="s">
        <v>55</v>
      </c>
      <c r="K29" s="76" t="s">
        <v>56</v>
      </c>
      <c r="L29" s="76" t="s">
        <v>57</v>
      </c>
      <c r="M29" s="76" t="s">
        <v>58</v>
      </c>
      <c r="N29" s="77" t="s">
        <v>59</v>
      </c>
      <c r="O29" s="78" t="s">
        <v>60</v>
      </c>
    </row>
    <row r="30" ht="24" spans="1:15">
      <c r="A30" s="38" t="s">
        <v>61</v>
      </c>
      <c r="C30" s="79" t="s">
        <v>62</v>
      </c>
      <c r="D30" s="80" t="s">
        <v>63</v>
      </c>
      <c r="E30" s="80" t="s">
        <v>64</v>
      </c>
      <c r="F30" s="80" t="s">
        <v>65</v>
      </c>
      <c r="G30" s="80" t="s">
        <v>66</v>
      </c>
      <c r="H30" s="80" t="s">
        <v>67</v>
      </c>
      <c r="I30" s="81" t="s">
        <v>68</v>
      </c>
      <c r="J30" s="81" t="s">
        <v>69</v>
      </c>
      <c r="K30" s="82" t="s">
        <v>70</v>
      </c>
      <c r="L30" s="83" t="s">
        <v>71</v>
      </c>
      <c r="M30" s="84">
        <v>131</v>
      </c>
      <c r="N30" s="85">
        <v>18.23</v>
      </c>
      <c r="O30" s="86">
        <f>N30*M30</f>
        <v>2388.13</v>
      </c>
    </row>
    <row r="31" ht="15" spans="1:15">
      <c r="A31" s="38" t="s">
        <v>72</v>
      </c>
      <c r="C31" s="79" t="s">
        <v>62</v>
      </c>
      <c r="D31" s="80" t="s">
        <v>73</v>
      </c>
      <c r="E31" s="80" t="s">
        <v>74</v>
      </c>
      <c r="F31" s="80" t="s">
        <v>65</v>
      </c>
      <c r="G31" s="80" t="s">
        <v>66</v>
      </c>
      <c r="H31" s="80"/>
      <c r="I31" s="81"/>
      <c r="J31" s="81"/>
      <c r="K31" s="82"/>
      <c r="L31" s="83"/>
      <c r="M31" s="84">
        <v>273</v>
      </c>
      <c r="N31" s="85">
        <v>18.23</v>
      </c>
      <c r="O31" s="86">
        <f>N31*M31</f>
        <v>4976.79</v>
      </c>
    </row>
    <row r="32" ht="15" spans="1:15">
      <c r="A32" s="38" t="s">
        <v>75</v>
      </c>
      <c r="C32" s="79" t="s">
        <v>62</v>
      </c>
      <c r="D32" s="80" t="s">
        <v>76</v>
      </c>
      <c r="E32" s="120" t="s">
        <v>77</v>
      </c>
      <c r="F32" s="80" t="s">
        <v>65</v>
      </c>
      <c r="G32" s="80" t="s">
        <v>66</v>
      </c>
      <c r="H32" s="80"/>
      <c r="I32" s="81"/>
      <c r="J32" s="81"/>
      <c r="K32" s="82"/>
      <c r="L32" s="83"/>
      <c r="M32" s="84">
        <v>434</v>
      </c>
      <c r="N32" s="85">
        <v>18.23</v>
      </c>
      <c r="O32" s="86">
        <f>N32*M32</f>
        <v>7911.82</v>
      </c>
    </row>
    <row r="33" spans="1:15">
      <c r="C33" s="79" t="s">
        <v>62</v>
      </c>
      <c r="D33" s="80" t="s">
        <v>78</v>
      </c>
      <c r="E33" s="80" t="s">
        <v>79</v>
      </c>
      <c r="F33" s="80" t="s">
        <v>65</v>
      </c>
      <c r="G33" s="80" t="s">
        <v>66</v>
      </c>
      <c r="H33" s="80"/>
      <c r="I33" s="81"/>
      <c r="J33" s="81"/>
      <c r="K33" s="82"/>
      <c r="L33" s="83"/>
      <c r="M33" s="84">
        <v>121</v>
      </c>
      <c r="N33" s="85">
        <v>18.23</v>
      </c>
      <c r="O33" s="86">
        <f>N33*M33</f>
        <v>2205.83</v>
      </c>
    </row>
    <row r="34" spans="1:15">
      <c r="C34" s="79" t="s">
        <v>62</v>
      </c>
      <c r="D34" s="80" t="s">
        <v>80</v>
      </c>
      <c r="E34" s="80" t="s">
        <v>81</v>
      </c>
      <c r="F34" s="80" t="s">
        <v>65</v>
      </c>
      <c r="G34" s="80" t="s">
        <v>66</v>
      </c>
      <c r="H34" s="80"/>
      <c r="I34" s="81"/>
      <c r="J34" s="81"/>
      <c r="K34" s="82"/>
      <c r="L34" s="83"/>
      <c r="M34" s="84">
        <v>41</v>
      </c>
      <c r="N34" s="85">
        <v>18.23</v>
      </c>
      <c r="O34" s="86">
        <f>N34*M34</f>
        <v>747.43</v>
      </c>
    </row>
    <row r="35" spans="1:15">
      <c r="C35" s="79"/>
      <c r="D35" s="80"/>
      <c r="E35" s="80"/>
      <c r="F35" s="87"/>
      <c r="G35" s="87"/>
      <c r="H35" s="80"/>
      <c r="I35" s="81"/>
      <c r="J35" s="81"/>
      <c r="K35" s="82"/>
      <c r="L35" s="83"/>
      <c r="M35" s="84"/>
      <c r="N35" s="85"/>
      <c r="O35" s="86"/>
    </row>
    <row r="36" spans="1:15">
      <c r="C36" s="79"/>
      <c r="D36" s="80"/>
      <c r="E36" s="80"/>
      <c r="F36" s="87"/>
      <c r="G36" s="87"/>
      <c r="H36" s="84"/>
      <c r="I36" s="81"/>
      <c r="J36" s="81"/>
      <c r="K36" s="82"/>
      <c r="L36" s="88"/>
      <c r="M36" s="84"/>
      <c r="N36" s="85"/>
      <c r="O36" s="86"/>
    </row>
    <row r="37" spans="1:15">
      <c r="C37" s="79"/>
      <c r="D37" s="80"/>
      <c r="E37" s="80"/>
      <c r="F37" s="87"/>
      <c r="G37" s="87"/>
      <c r="H37" s="84"/>
      <c r="I37" s="81"/>
      <c r="J37" s="81"/>
      <c r="K37" s="82"/>
      <c r="L37" s="88"/>
      <c r="M37" s="84"/>
      <c r="N37" s="85"/>
      <c r="O37" s="86"/>
    </row>
    <row r="38" spans="1:15">
      <c r="C38" s="79"/>
      <c r="D38" s="80"/>
      <c r="E38" s="80"/>
      <c r="F38" s="80"/>
      <c r="G38" s="87"/>
      <c r="H38" s="84"/>
      <c r="I38" s="81"/>
      <c r="J38" s="81"/>
      <c r="K38" s="82"/>
      <c r="L38" s="88"/>
      <c r="M38" s="84"/>
      <c r="N38" s="85"/>
      <c r="O38" s="89"/>
    </row>
    <row r="39" spans="1:15">
      <c r="C39" s="90"/>
      <c r="D39" s="80"/>
      <c r="E39" s="80"/>
      <c r="F39" s="80"/>
      <c r="G39" s="80"/>
      <c r="H39" s="84"/>
      <c r="I39" s="81"/>
      <c r="J39" s="81"/>
      <c r="K39" s="82"/>
      <c r="L39" s="88"/>
      <c r="M39" s="84"/>
      <c r="N39" s="85"/>
      <c r="O39" s="89"/>
    </row>
    <row r="40" spans="1:15">
      <c r="C40" s="90"/>
      <c r="D40" s="88"/>
      <c r="E40" s="91"/>
      <c r="F40" s="88"/>
      <c r="G40" s="88"/>
      <c r="H40" s="84"/>
      <c r="I40" s="81"/>
      <c r="J40" s="81"/>
      <c r="K40" s="92"/>
      <c r="L40" s="88"/>
      <c r="M40" s="84"/>
      <c r="N40" s="85"/>
      <c r="O40" s="89"/>
    </row>
    <row r="41" spans="1:15">
      <c r="C41" s="93"/>
      <c r="D41" s="94"/>
      <c r="E41" s="94"/>
      <c r="F41" s="94"/>
      <c r="G41" s="94"/>
      <c r="H41" s="95"/>
      <c r="I41" s="94"/>
      <c r="J41" s="94"/>
      <c r="K41" s="94"/>
      <c r="L41" s="96"/>
      <c r="M41" s="97">
        <f>SUM(M30:M40)</f>
        <v>1000</v>
      </c>
      <c r="N41" s="86"/>
      <c r="O41" s="98">
        <f>SUM(O30:O40)</f>
        <v>18230</v>
      </c>
    </row>
    <row r="42" spans="1:15">
      <c r="C42" s="99"/>
      <c r="D42" s="100"/>
      <c r="E42" s="101"/>
      <c r="F42" s="102"/>
      <c r="G42" s="55"/>
      <c r="H42" s="102"/>
      <c r="I42" s="57"/>
      <c r="J42" s="103"/>
      <c r="K42" s="104"/>
      <c r="L42" s="105"/>
      <c r="M42" s="105"/>
      <c r="N42" s="105"/>
      <c r="O42" s="59"/>
    </row>
    <row r="43" spans="1:15">
      <c r="C43" s="99"/>
      <c r="D43" s="100"/>
      <c r="E43" s="106"/>
      <c r="F43" s="54"/>
      <c r="G43" s="55"/>
      <c r="H43" s="54"/>
      <c r="I43" s="107"/>
      <c r="J43" s="58"/>
      <c r="K43" s="1"/>
      <c r="O43" s="59"/>
    </row>
    <row r="44" ht="18.75" spans="1:15">
      <c r="A44" t="s">
        <v>82</v>
      </c>
      <c r="C44" s="108"/>
      <c r="D44" s="109"/>
      <c r="E44" s="110"/>
      <c r="F44" s="68"/>
      <c r="G44" s="69"/>
      <c r="H44" s="68"/>
      <c r="I44" s="71"/>
      <c r="J44" s="72"/>
      <c r="K44" s="111"/>
      <c r="L44" s="111" t="s">
        <v>83</v>
      </c>
      <c r="M44" s="68" t="s">
        <v>84</v>
      </c>
      <c r="N44" s="112" t="s">
        <v>85</v>
      </c>
      <c r="O44" s="113">
        <f>O41</f>
        <v>18230</v>
      </c>
    </row>
    <row r="45" spans="1:15">
      <c r="C45" s="114"/>
      <c r="D45" s="114"/>
      <c r="E45" s="106"/>
      <c r="F45" s="54"/>
      <c r="G45" s="115"/>
      <c r="H45" s="54"/>
      <c r="I45" s="115"/>
      <c r="J45" s="58"/>
      <c r="K45" s="62"/>
      <c r="L45" s="54"/>
      <c r="M45" s="54"/>
      <c r="N45" s="116"/>
      <c r="O45" s="117"/>
    </row>
    <row r="46" spans="1:15">
      <c r="C46" s="7" t="s">
        <v>86</v>
      </c>
      <c r="D46" s="7"/>
      <c r="E46" s="7" t="s">
        <v>87</v>
      </c>
      <c r="F46" s="20"/>
      <c r="G46" s="10"/>
      <c r="H46" s="10"/>
    </row>
    <row r="47" spans="1:15">
      <c r="C47" s="7" t="s">
        <v>88</v>
      </c>
      <c r="D47" s="11"/>
      <c r="E47" s="12"/>
      <c r="G47" s="20"/>
      <c r="H47" s="20"/>
    </row>
    <row r="48" ht="12.75" customHeight="1" spans="1:15">
      <c r="C48" s="7"/>
      <c r="D48" s="11"/>
      <c r="E48" s="12"/>
      <c r="G48" s="20"/>
      <c r="H48" s="20"/>
    </row>
    <row r="49" ht="12.75" customHeight="1" spans="1:10">
      <c r="A49" t="s">
        <v>89</v>
      </c>
      <c r="G49" s="20"/>
      <c r="H49" s="20"/>
    </row>
    <row r="50" spans="1:10">
      <c r="A50" t="s">
        <v>90</v>
      </c>
      <c r="G50" s="20"/>
    </row>
    <row r="51" spans="1:10">
      <c r="A51" t="s">
        <v>91</v>
      </c>
      <c r="G51" s="20"/>
    </row>
    <row r="52" ht="15" spans="1:10">
      <c r="A52" t="s">
        <v>92</v>
      </c>
      <c r="B52" s="38"/>
      <c r="C52" s="38"/>
      <c r="D52" s="38"/>
      <c r="E52" s="13"/>
      <c r="G52" s="20"/>
      <c r="H52" s="13"/>
    </row>
    <row r="53" ht="15" spans="1:10">
      <c r="A53" t="s">
        <v>93</v>
      </c>
      <c r="C53" s="7"/>
      <c r="D53" s="118"/>
      <c r="E53" s="119"/>
      <c r="G53" s="20"/>
      <c r="H53" s="13"/>
      <c r="I53" s="1"/>
    </row>
    <row r="54" ht="15" spans="1:10">
      <c r="B54" s="38"/>
      <c r="C54" s="7"/>
      <c r="D54" s="118"/>
      <c r="E54" s="119"/>
      <c r="F54" s="13"/>
      <c r="G54" s="10"/>
      <c r="H54" s="13"/>
      <c r="I54" s="1"/>
      <c r="J54" s="1"/>
    </row>
    <row r="55" spans="1:10">
      <c r="A55" t="s">
        <v>94</v>
      </c>
      <c r="C55" s="1"/>
      <c r="D55" s="11"/>
      <c r="E55" s="12"/>
    </row>
    <row r="56" spans="1:10">
      <c r="A56" t="s">
        <v>95</v>
      </c>
      <c r="C56" s="1"/>
      <c r="D56" s="11"/>
      <c r="E56" s="12"/>
    </row>
    <row r="57" spans="1:10">
      <c r="B57" s="1"/>
      <c r="C57" s="1"/>
      <c r="D57" s="11"/>
      <c r="E57" s="12"/>
      <c r="F57" s="20"/>
      <c r="G57" s="20"/>
      <c r="H57" s="20"/>
      <c r="I57" s="1"/>
      <c r="J57" s="1"/>
    </row>
  </sheetData>
  <mergeCells count="16">
    <mergeCell ref="A1:O1"/>
    <mergeCell ref="A2:O2"/>
    <mergeCell ref="A3:O3"/>
    <mergeCell ref="A5:O5"/>
    <mergeCell ref="I6:J6"/>
    <mergeCell ref="M6:N6"/>
    <mergeCell ref="I9:J9"/>
    <mergeCell ref="M9:N9"/>
    <mergeCell ref="I10:J10"/>
    <mergeCell ref="M10:N10"/>
    <mergeCell ref="B12:C12"/>
    <mergeCell ref="B13:C13"/>
    <mergeCell ref="K13:L13"/>
    <mergeCell ref="K14:L14"/>
    <mergeCell ref="A23:B23"/>
    <mergeCell ref="C23:O23"/>
  </mergeCells>
  <dataValidations count="3">
    <dataValidation allowBlank="1" showErrorMessage="1" sqref="I38"/>
    <dataValidation type="list" allowBlank="1" showErrorMessage="1" sqref="I30:I37 I39:I40">
      <formula1>"Dress,Hat,Headware,Hoodie,Jacket,Jacket Waterproof ,Jacket Waterresistent ,Jumpsuit,Outerwear,Pants,Shacket,Shirt,Short,Skirt,Socks,Sweater,Tank,Top,T-shirt,Vest,Bag,Bottle,Other"</formula1>
    </dataValidation>
    <dataValidation type="list" allowBlank="1" showErrorMessage="1" sqref="J30:J40">
      <formula1>"Mens,Womens,Ungendered"</formula1>
    </dataValidation>
  </dataValidations>
  <hyperlinks>
    <hyperlink ref="B10" r:id="rId1" display="ACCOUNTING@TENTREE.COM"/>
    <hyperlink ref="D4" r:id="rId2" display="CANDY@BESTSTARFASHIONS.COM.CN"/>
  </hyperlinks>
  <pageMargins left="0.75" right="0.75" top="1" bottom="1" header="0.5" footer="0.5"/>
  <pageSetup paperSize="9" scale="36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Han</dc:creator>
  <cp:lastModifiedBy>微信用户</cp:lastModifiedBy>
  <dcterms:created xsi:type="dcterms:W3CDTF">2022-06-28T19:08:00Z</dcterms:created>
  <dcterms:modified xsi:type="dcterms:W3CDTF">2026-08-25T03:25:23Z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CB7A726367E344A18F799A309FCFFC00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