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Invoice" sheetId="2" r:id="rId1"/>
    <sheet name="Packing List" sheetId="5" r:id="rId2"/>
  </sheets>
  <definedNames>
    <definedName name="_xlnm._FilterDatabase" localSheetId="0" hidden="1">Invoice!$A$21:$M$188</definedName>
    <definedName name="_xlnm._FilterDatabase" localSheetId="1" hidden="1">'Packing List'!$A$12:$N$248</definedName>
    <definedName name="_xlnm.Print_Area" localSheetId="1">'Packing List'!$A$1:$L$267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<sst xmlns="http://schemas.openxmlformats.org/spreadsheetml/2006/main" count="3147" uniqueCount="529">
  <si>
    <t>SHANGHAI PUCCI TEXTILE CO., LTD</t>
  </si>
  <si>
    <t xml:space="preserve">Unit 103, Block 1, No. 218 Huting North Road, Songjiang District, Shanghai,China </t>
  </si>
  <si>
    <t>PO #</t>
  </si>
  <si>
    <t>04758</t>
  </si>
  <si>
    <t>ATTN:SHERRY     TEL:18616981368</t>
  </si>
  <si>
    <t>Invoice #</t>
  </si>
  <si>
    <t>PT04758D</t>
  </si>
  <si>
    <t>Date</t>
  </si>
  <si>
    <t>Manufacturer Name:SHANGHAI PUCCI TEXTILE CO., LTD</t>
  </si>
  <si>
    <t>Shipping Mode</t>
  </si>
  <si>
    <t>Air</t>
  </si>
  <si>
    <t xml:space="preserve">Manufacturer address;Unit 103, Block 1, No. 218 Huting North Road, </t>
  </si>
  <si>
    <t>Shipment #</t>
  </si>
  <si>
    <t xml:space="preserve">Songjiang District, Shanghai,China </t>
  </si>
  <si>
    <t>ETA Date</t>
  </si>
  <si>
    <t>Port of Loading</t>
  </si>
  <si>
    <t>Shanghai,China</t>
  </si>
  <si>
    <t>Port of Discharge</t>
  </si>
  <si>
    <t>Vancouver,Canada</t>
  </si>
  <si>
    <t>Remarks</t>
  </si>
  <si>
    <t>Commercial invoice</t>
  </si>
  <si>
    <t>Country of Origin</t>
  </si>
  <si>
    <t>China</t>
  </si>
  <si>
    <t>Consignee</t>
  </si>
  <si>
    <t>Notify Party</t>
  </si>
  <si>
    <t>NRI CA Warehouse</t>
  </si>
  <si>
    <t>Tentree International</t>
  </si>
  <si>
    <t xml:space="preserve">8205 Dallas Dr., Kamloops </t>
  </si>
  <si>
    <t>230-1275 Venables St.</t>
  </si>
  <si>
    <t>British Columbia Canada</t>
  </si>
  <si>
    <t>Vancouver, BC V6A 2E4</t>
  </si>
  <si>
    <t>604-829-2706</t>
  </si>
  <si>
    <t>PO#</t>
  </si>
  <si>
    <t>SKU</t>
  </si>
  <si>
    <t>UPC</t>
  </si>
  <si>
    <t>Knit/Woven</t>
  </si>
  <si>
    <t>Style Description</t>
  </si>
  <si>
    <t>Color Description</t>
  </si>
  <si>
    <t>Category</t>
  </si>
  <si>
    <t xml:space="preserve">Gender </t>
  </si>
  <si>
    <t>Composition</t>
  </si>
  <si>
    <t>HTS Code</t>
  </si>
  <si>
    <t>Quantity</t>
  </si>
  <si>
    <t>Unit Price USD</t>
  </si>
  <si>
    <t>Total USD</t>
  </si>
  <si>
    <t>PO04758</t>
  </si>
  <si>
    <t>TCM6140-6412-L</t>
  </si>
  <si>
    <t>661814900094</t>
  </si>
  <si>
    <t>Knit</t>
  </si>
  <si>
    <t>M Howson Hoodie</t>
  </si>
  <si>
    <t>Dark Forest Green/Pine Green</t>
  </si>
  <si>
    <t>Hoodie</t>
  </si>
  <si>
    <t>Mens</t>
  </si>
  <si>
    <t>55% Organic Cotton, 26% Recycled Polyester, 19% TENCEL™ Lyocell</t>
  </si>
  <si>
    <t>6109.10.00.10</t>
  </si>
  <si>
    <t>TCM6140-6412-M</t>
  </si>
  <si>
    <t>661814899183</t>
  </si>
  <si>
    <t>TCM6140-6412-S</t>
  </si>
  <si>
    <t>661814899169</t>
  </si>
  <si>
    <t>TCM6140-6412-XL</t>
  </si>
  <si>
    <t>661814899145</t>
  </si>
  <si>
    <t>TCM6140-6412-XXL</t>
  </si>
  <si>
    <t>661814899121</t>
  </si>
  <si>
    <t>TCM6140-5758-L</t>
  </si>
  <si>
    <t>661814899268</t>
  </si>
  <si>
    <t>Harbour Grey Heather/Midnight Blue</t>
  </si>
  <si>
    <t>TCM6140-5758-M</t>
  </si>
  <si>
    <t>661814899244</t>
  </si>
  <si>
    <t>TCM6140-5758-S</t>
  </si>
  <si>
    <t>661814899220</t>
  </si>
  <si>
    <t>TCM6140-5758-XL</t>
  </si>
  <si>
    <t>661814899206</t>
  </si>
  <si>
    <t>TCM6140-6489-L</t>
  </si>
  <si>
    <t>661814899008</t>
  </si>
  <si>
    <t>Meteorite Black/Cider</t>
  </si>
  <si>
    <t>TCM6140-6489-M</t>
  </si>
  <si>
    <t>661814898995</t>
  </si>
  <si>
    <t>TCM6140-6489-S</t>
  </si>
  <si>
    <t>661814898988</t>
  </si>
  <si>
    <t>TCM6140-6489-XL</t>
  </si>
  <si>
    <t>661814898971</t>
  </si>
  <si>
    <t>TCM6140-6489-XXL</t>
  </si>
  <si>
    <t>661814898964</t>
  </si>
  <si>
    <t>TCM6140-6488-L</t>
  </si>
  <si>
    <t>661814899107</t>
  </si>
  <si>
    <t>Red Chestnut/Ashwood</t>
  </si>
  <si>
    <t>TCM6140-6488-M</t>
  </si>
  <si>
    <t>661814899084</t>
  </si>
  <si>
    <t>TCM6140-6488-XL</t>
  </si>
  <si>
    <t>661814899046</t>
  </si>
  <si>
    <t>TCM6673-6438-L</t>
  </si>
  <si>
    <t>661814881539</t>
  </si>
  <si>
    <t>M Heritage Landscape Full Zip Hoodie</t>
  </si>
  <si>
    <t>Ashwood/Meteorite Black</t>
  </si>
  <si>
    <t>TCM6673-6438-M</t>
  </si>
  <si>
    <t>661814882079</t>
  </si>
  <si>
    <t>TCM6673-6438-XL</t>
  </si>
  <si>
    <t>661814887791</t>
  </si>
  <si>
    <t>TCM6673-6461-L</t>
  </si>
  <si>
    <t>661814887753</t>
  </si>
  <si>
    <t>Deep Olive/White Oak</t>
  </si>
  <si>
    <t>TCM6673-6461-M</t>
  </si>
  <si>
    <t>661814887739</t>
  </si>
  <si>
    <t>TCM6673-6461-S</t>
  </si>
  <si>
    <t>661814887715</t>
  </si>
  <si>
    <t>TCM6673-6461-XL</t>
  </si>
  <si>
    <t>661814887692</t>
  </si>
  <si>
    <t>TCM6673-6461-XXL</t>
  </si>
  <si>
    <t>661814887678</t>
  </si>
  <si>
    <t>TCM6675-6492-L</t>
  </si>
  <si>
    <t>661814895789</t>
  </si>
  <si>
    <t>M Carson Hoodie</t>
  </si>
  <si>
    <t>Midnight Blue/Ashwood</t>
  </si>
  <si>
    <t>100% Recycled Polyester</t>
  </si>
  <si>
    <t>6109.90.00.10</t>
  </si>
  <si>
    <t>TCM6675-6492-M</t>
  </si>
  <si>
    <t>661814895734</t>
  </si>
  <si>
    <t>TCM6675-6492-XL</t>
  </si>
  <si>
    <t>661814895697</t>
  </si>
  <si>
    <t>TCM6676-2012-L</t>
  </si>
  <si>
    <t>661814887272</t>
  </si>
  <si>
    <t>M Howson 1/4 Snap</t>
  </si>
  <si>
    <t>Dark Forest Green</t>
  </si>
  <si>
    <t>Top</t>
  </si>
  <si>
    <t>TCM6676-2012-M</t>
  </si>
  <si>
    <t>661814887258</t>
  </si>
  <si>
    <t>TCM6676-2012-S</t>
  </si>
  <si>
    <t>661814887234</t>
  </si>
  <si>
    <t>TCM6676-2012-XL</t>
  </si>
  <si>
    <t>661814887210</t>
  </si>
  <si>
    <t>TCM6676-0164-L</t>
  </si>
  <si>
    <t>661814887371</t>
  </si>
  <si>
    <t>Meteorite Black</t>
  </si>
  <si>
    <t>TCM6676-0164-M</t>
  </si>
  <si>
    <t>661814887357</t>
  </si>
  <si>
    <t>TCM6676-0164-S</t>
  </si>
  <si>
    <t>661814887333</t>
  </si>
  <si>
    <t>TCM6676-0164-XL</t>
  </si>
  <si>
    <t>661814887319</t>
  </si>
  <si>
    <t>TCM6676-0164-XXL</t>
  </si>
  <si>
    <t>661814887296</t>
  </si>
  <si>
    <t>TCM6690-6365-L</t>
  </si>
  <si>
    <t>661814883946</t>
  </si>
  <si>
    <t>M Otto Reversible Jacket</t>
  </si>
  <si>
    <t>Ashwood/Reflective Peaks</t>
  </si>
  <si>
    <t>Jacket</t>
  </si>
  <si>
    <t>TCM6690-6365-M</t>
  </si>
  <si>
    <t>661814883922</t>
  </si>
  <si>
    <t>TCM6690-6365-S</t>
  </si>
  <si>
    <t>661814883908</t>
  </si>
  <si>
    <t>TCM6690-6365-XL</t>
  </si>
  <si>
    <t>661814883885</t>
  </si>
  <si>
    <t>TCM6690-6365-XXL</t>
  </si>
  <si>
    <t>661814883861</t>
  </si>
  <si>
    <t>TCM6690-6366-L</t>
  </si>
  <si>
    <t>661814883847</t>
  </si>
  <si>
    <t>Midnight Blue/Reflective Peaks</t>
  </si>
  <si>
    <t>TCM6690-6366-M</t>
  </si>
  <si>
    <t>661814883823</t>
  </si>
  <si>
    <t>TCM6690-6366-S</t>
  </si>
  <si>
    <t>661814883809</t>
  </si>
  <si>
    <t>TCM6690-6366-XL</t>
  </si>
  <si>
    <t>661814883786</t>
  </si>
  <si>
    <t>TCM6690-6366-XXL</t>
  </si>
  <si>
    <t>661814883762</t>
  </si>
  <si>
    <t>TCM6980-5889-L</t>
  </si>
  <si>
    <t>661814940175</t>
  </si>
  <si>
    <t>M Blocked Reynard Crew</t>
  </si>
  <si>
    <t>Harbour Grey Heather/Meteorite Black</t>
  </si>
  <si>
    <t>TCM6980-5889-M</t>
  </si>
  <si>
    <t>661814940168</t>
  </si>
  <si>
    <t>TCM6980-5889-S</t>
  </si>
  <si>
    <t>661814940151</t>
  </si>
  <si>
    <t>TCM6980-5889-XL</t>
  </si>
  <si>
    <t>661814940144</t>
  </si>
  <si>
    <t>TCM6980-5889-XXL</t>
  </si>
  <si>
    <t>661814940137</t>
  </si>
  <si>
    <t>TCW6181-6309-L</t>
  </si>
  <si>
    <t>661814877990</t>
  </si>
  <si>
    <t>W Elm Hoodie</t>
  </si>
  <si>
    <t>Pacific Teal</t>
  </si>
  <si>
    <t>Womens</t>
  </si>
  <si>
    <t>TCW6181-6309-M</t>
  </si>
  <si>
    <t>661814877976</t>
  </si>
  <si>
    <t>TCW6181-6309-S</t>
  </si>
  <si>
    <t>661814877952</t>
  </si>
  <si>
    <t>TCW6181-6309-XL</t>
  </si>
  <si>
    <t>661814877938</t>
  </si>
  <si>
    <t>TCW6181-6299-L</t>
  </si>
  <si>
    <t>661814878096</t>
  </si>
  <si>
    <t>Pine Green</t>
  </si>
  <si>
    <t>TCW6181-6299-M</t>
  </si>
  <si>
    <t>661814878072</t>
  </si>
  <si>
    <t>TCW6181-6299-S</t>
  </si>
  <si>
    <t>661814878058</t>
  </si>
  <si>
    <t>TCW6181-6299-XL</t>
  </si>
  <si>
    <t>661814878034</t>
  </si>
  <si>
    <t>TCW6181-6299-XS</t>
  </si>
  <si>
    <t>661814878010</t>
  </si>
  <si>
    <t>TCW6181-6291-L</t>
  </si>
  <si>
    <t>661814878195</t>
  </si>
  <si>
    <t>Plum Royale</t>
  </si>
  <si>
    <t>TCW6181-6291-M</t>
  </si>
  <si>
    <t>661814878171</t>
  </si>
  <si>
    <t>TCW6181-6291-S</t>
  </si>
  <si>
    <t>661814878157</t>
  </si>
  <si>
    <t>TCW6181-6291-XL</t>
  </si>
  <si>
    <t>661814878133</t>
  </si>
  <si>
    <t>TCW6181-6291-XS</t>
  </si>
  <si>
    <t>661814878119</t>
  </si>
  <si>
    <t>TCW6182-2012-L</t>
  </si>
  <si>
    <t>661814877891</t>
  </si>
  <si>
    <t>W Elm Crew</t>
  </si>
  <si>
    <t>TCW6182-2012-M</t>
  </si>
  <si>
    <t>661814877853</t>
  </si>
  <si>
    <t>TCW6182-2012-S</t>
  </si>
  <si>
    <t>661814877839</t>
  </si>
  <si>
    <t>TCW6182-2012-XS</t>
  </si>
  <si>
    <t>661814877877</t>
  </si>
  <si>
    <t>TCW6183-5604-L</t>
  </si>
  <si>
    <t>661814791050</t>
  </si>
  <si>
    <t>W Elm Zip Hoodie</t>
  </si>
  <si>
    <t>Harbour Grey Heather</t>
  </si>
  <si>
    <t>TCW6183-5604-M</t>
  </si>
  <si>
    <t>661814791036</t>
  </si>
  <si>
    <t>TCW6183-5604-S</t>
  </si>
  <si>
    <t>661814791012</t>
  </si>
  <si>
    <t>TCW6183-5604-XL</t>
  </si>
  <si>
    <t>661814790992</t>
  </si>
  <si>
    <t>TCW6183-5604-XS</t>
  </si>
  <si>
    <t>661814790978</t>
  </si>
  <si>
    <t>TCW6183-0164-L</t>
  </si>
  <si>
    <t>661814742137</t>
  </si>
  <si>
    <t>TCW6183-0164-M</t>
  </si>
  <si>
    <t>661814742113</t>
  </si>
  <si>
    <t>TCW6183-0164-S</t>
  </si>
  <si>
    <t>661814742090</t>
  </si>
  <si>
    <t>TCW6183-0164-XL</t>
  </si>
  <si>
    <t>661814742076</t>
  </si>
  <si>
    <t>TCW6183-0164-XS</t>
  </si>
  <si>
    <t>661814742052</t>
  </si>
  <si>
    <t>TCW6183-6309-L</t>
  </si>
  <si>
    <t>661814876979</t>
  </si>
  <si>
    <t>TCW6183-6309-M</t>
  </si>
  <si>
    <t>661814876955</t>
  </si>
  <si>
    <t>TCW6183-6309-S</t>
  </si>
  <si>
    <t>661814876931</t>
  </si>
  <si>
    <t>TCW6183-6293-L</t>
  </si>
  <si>
    <t>661814877174</t>
  </si>
  <si>
    <t>Red Chestnut</t>
  </si>
  <si>
    <t>TCW6183-6293-M</t>
  </si>
  <si>
    <t>661814877150</t>
  </si>
  <si>
    <t>TCW6183-6293-XL</t>
  </si>
  <si>
    <t>661814877112</t>
  </si>
  <si>
    <t>TCW6264-2012-L</t>
  </si>
  <si>
    <t>661814871851</t>
  </si>
  <si>
    <t>W Weston Dress</t>
  </si>
  <si>
    <t>Dress</t>
  </si>
  <si>
    <t>TCW6264-2012-M</t>
  </si>
  <si>
    <t>661814871837</t>
  </si>
  <si>
    <t>TCW6264-2012-S</t>
  </si>
  <si>
    <t>661814871813</t>
  </si>
  <si>
    <t>TCW6264-2012-XL</t>
  </si>
  <si>
    <t>661814871790</t>
  </si>
  <si>
    <t>TCW6264-2012-XS</t>
  </si>
  <si>
    <t>661814871776</t>
  </si>
  <si>
    <t>TCW6264-0164-L</t>
  </si>
  <si>
    <t>661814808062</t>
  </si>
  <si>
    <t>TCW6264-0164-M</t>
  </si>
  <si>
    <t>661814808048</t>
  </si>
  <si>
    <t>TCW6264-0164-S</t>
  </si>
  <si>
    <t>661814808024</t>
  </si>
  <si>
    <t>TCW6264-0164-XL</t>
  </si>
  <si>
    <t>661814813493</t>
  </si>
  <si>
    <t>TCW6268-6414-L</t>
  </si>
  <si>
    <t>661814881300</t>
  </si>
  <si>
    <t>W Collins Vest</t>
  </si>
  <si>
    <t>Dark Forest Green/Dark Forest Green</t>
  </si>
  <si>
    <t>Vest</t>
  </si>
  <si>
    <t>TCW6268-6414-M</t>
  </si>
  <si>
    <t>661814881263</t>
  </si>
  <si>
    <t>TCW6268-6414-S</t>
  </si>
  <si>
    <t>661814881249</t>
  </si>
  <si>
    <t>TCW6268-6414-XL</t>
  </si>
  <si>
    <t>661814881225</t>
  </si>
  <si>
    <t>TCW6268-6414-XS</t>
  </si>
  <si>
    <t>661814881287</t>
  </si>
  <si>
    <t>TCW6268-3481-L</t>
  </si>
  <si>
    <t>661814881409</t>
  </si>
  <si>
    <t>Pale Oak/Pale Oak</t>
  </si>
  <si>
    <t>TCW6268-3481-M</t>
  </si>
  <si>
    <t>661814881386</t>
  </si>
  <si>
    <t>TCW6268-3481-S</t>
  </si>
  <si>
    <t>661814881362</t>
  </si>
  <si>
    <t>TCW6268-3481-XL</t>
  </si>
  <si>
    <t>661814881348</t>
  </si>
  <si>
    <t>TCW6268-3481-XS</t>
  </si>
  <si>
    <t>661814881324</t>
  </si>
  <si>
    <t>TCW6311-6383-L</t>
  </si>
  <si>
    <t>661814881850</t>
  </si>
  <si>
    <t>W Pikes Half Zip</t>
  </si>
  <si>
    <t>Ashwood/Soft Blur</t>
  </si>
  <si>
    <t>TCW6311-6383-M</t>
  </si>
  <si>
    <t>661814881836</t>
  </si>
  <si>
    <t>TCW6311-6383-S</t>
  </si>
  <si>
    <t>661814881812</t>
  </si>
  <si>
    <t>TCW6311-6383-XL</t>
  </si>
  <si>
    <t>661814881799</t>
  </si>
  <si>
    <t>TCW6311-6383-XS</t>
  </si>
  <si>
    <t>661814881775</t>
  </si>
  <si>
    <t>TCW6311-6384-L</t>
  </si>
  <si>
    <t>661814881751</t>
  </si>
  <si>
    <t>Red Chestnut/Soft Blur</t>
  </si>
  <si>
    <t>TCW6311-6384-M</t>
  </si>
  <si>
    <t>661814881737</t>
  </si>
  <si>
    <t>TCW6311-6384-S</t>
  </si>
  <si>
    <t>661814881713</t>
  </si>
  <si>
    <t>TCW6634-6412-L</t>
  </si>
  <si>
    <t>661814891026</t>
  </si>
  <si>
    <t>W Foster Hoodie</t>
  </si>
  <si>
    <t>TCW6634-6412-M</t>
  </si>
  <si>
    <t>661814891002</t>
  </si>
  <si>
    <t>TCW6634-6412-S</t>
  </si>
  <si>
    <t>661814890982</t>
  </si>
  <si>
    <t>TCW6634-6412-XL</t>
  </si>
  <si>
    <t>661814890944</t>
  </si>
  <si>
    <t>TCW6634-6412-XS</t>
  </si>
  <si>
    <t>661814890920</t>
  </si>
  <si>
    <t>TCW6634-6411-L</t>
  </si>
  <si>
    <t>661814892177</t>
  </si>
  <si>
    <t>Harbour Grey Heather/Pale Oak Heather</t>
  </si>
  <si>
    <t>TCW6634-6411-M</t>
  </si>
  <si>
    <t>661814892153</t>
  </si>
  <si>
    <t>TCW6634-6411-S</t>
  </si>
  <si>
    <t>661814892139</t>
  </si>
  <si>
    <t>TCW6634-6411-XL</t>
  </si>
  <si>
    <t>661814892115</t>
  </si>
  <si>
    <t>TCW6636-0164-L</t>
  </si>
  <si>
    <t>661814899992</t>
  </si>
  <si>
    <t>W Niagara 1/4 Zip</t>
  </si>
  <si>
    <t>TCW6636-0164-M</t>
  </si>
  <si>
    <t>661814899978</t>
  </si>
  <si>
    <t>TCW6636-0164-S</t>
  </si>
  <si>
    <t>661814899954</t>
  </si>
  <si>
    <t>TCW6636-0164-XL</t>
  </si>
  <si>
    <t>661814899930</t>
  </si>
  <si>
    <t>TCW6636-0164-XS</t>
  </si>
  <si>
    <t>661814899916</t>
  </si>
  <si>
    <t>TCW6637-2012-L</t>
  </si>
  <si>
    <t>661814874944</t>
  </si>
  <si>
    <t>W Patterson Full Zip</t>
  </si>
  <si>
    <t>TCW6637-2012-M</t>
  </si>
  <si>
    <t>661814874920</t>
  </si>
  <si>
    <t>TCW6637-2012-S</t>
  </si>
  <si>
    <t>661814874906</t>
  </si>
  <si>
    <t>TCW6637-2012-XL</t>
  </si>
  <si>
    <t>661814874883</t>
  </si>
  <si>
    <t>TCW6637-2012-XS</t>
  </si>
  <si>
    <t>661814874869</t>
  </si>
  <si>
    <t>TCW6637-0164-L</t>
  </si>
  <si>
    <t>661814875040</t>
  </si>
  <si>
    <t>TCW6637-0164-M</t>
  </si>
  <si>
    <t>661814875026</t>
  </si>
  <si>
    <t>TCW6637-0164-S</t>
  </si>
  <si>
    <t>661814875002</t>
  </si>
  <si>
    <t>TCW6637-0164-XL</t>
  </si>
  <si>
    <t>661814874982</t>
  </si>
  <si>
    <t>TCW6637-0164-XS</t>
  </si>
  <si>
    <t>661814874968</t>
  </si>
  <si>
    <t>TCW6637-6513-L</t>
  </si>
  <si>
    <t>661814874821</t>
  </si>
  <si>
    <t>Pale Oak Heather</t>
  </si>
  <si>
    <t>TCW6637-6513-M</t>
  </si>
  <si>
    <t>661814874807</t>
  </si>
  <si>
    <t>TCW6637-6513-S</t>
  </si>
  <si>
    <t>661814874784</t>
  </si>
  <si>
    <t>TCW6637-6513-XL</t>
  </si>
  <si>
    <t>661814874845</t>
  </si>
  <si>
    <t>TCW6637-6513-XS</t>
  </si>
  <si>
    <t>661814874760</t>
  </si>
  <si>
    <t>TCW6639-2884-L</t>
  </si>
  <si>
    <t>661814874449</t>
  </si>
  <si>
    <t>W Sunset Ridge Relaxed Crew</t>
  </si>
  <si>
    <t>Meteorite Black/Pale Oak</t>
  </si>
  <si>
    <t>TCW6639-2884-M</t>
  </si>
  <si>
    <t>661814874425</t>
  </si>
  <si>
    <t>TCW6639-2884-S</t>
  </si>
  <si>
    <t>661814874401</t>
  </si>
  <si>
    <t>TCW6639-2884-XL</t>
  </si>
  <si>
    <t>661814874388</t>
  </si>
  <si>
    <t>TCW6639-2884-XS</t>
  </si>
  <si>
    <t>661814874364</t>
  </si>
  <si>
    <t>TCW6639-6578-L</t>
  </si>
  <si>
    <t>661814865713</t>
  </si>
  <si>
    <t>Pale Oak Heather/Graphite</t>
  </si>
  <si>
    <t>TCW6639-6578-M</t>
  </si>
  <si>
    <t>661814873794</t>
  </si>
  <si>
    <t>TCW6639-6578-S</t>
  </si>
  <si>
    <t>661814865690</t>
  </si>
  <si>
    <t>TCW6639-6578-XL</t>
  </si>
  <si>
    <t>661814865676</t>
  </si>
  <si>
    <t>TCW6639-6578-XS</t>
  </si>
  <si>
    <t>661814865638</t>
  </si>
  <si>
    <t>TCW6652-6303-L</t>
  </si>
  <si>
    <t>661814874838</t>
  </si>
  <si>
    <t>W Vancouver Dress</t>
  </si>
  <si>
    <t>Ashwood</t>
  </si>
  <si>
    <t>TCW6652-6303-M</t>
  </si>
  <si>
    <t>661814874814</t>
  </si>
  <si>
    <t>TCW6652-6303-S</t>
  </si>
  <si>
    <t>661814874791</t>
  </si>
  <si>
    <t>TCW6652-6303-XL</t>
  </si>
  <si>
    <t>661814874777</t>
  </si>
  <si>
    <t>TCW6652-6303-XS</t>
  </si>
  <si>
    <t>661814874753</t>
  </si>
  <si>
    <t>TCW6652-0164-L</t>
  </si>
  <si>
    <t>661814875033</t>
  </si>
  <si>
    <t>TCW6652-0164-M</t>
  </si>
  <si>
    <t>661814875019</t>
  </si>
  <si>
    <t>TCW6652-0164-S</t>
  </si>
  <si>
    <t>661814874999</t>
  </si>
  <si>
    <t>TCW6652-0164-XL</t>
  </si>
  <si>
    <t>661814874975</t>
  </si>
  <si>
    <t>TCW6652-0164-XS</t>
  </si>
  <si>
    <t>661814874951</t>
  </si>
  <si>
    <t>TCW6652-6293-L</t>
  </si>
  <si>
    <t>661814874913</t>
  </si>
  <si>
    <t>TCW6652-6293-M</t>
  </si>
  <si>
    <t>661814874890</t>
  </si>
  <si>
    <t>TCW6652-6293-S</t>
  </si>
  <si>
    <t>661814874876</t>
  </si>
  <si>
    <t>TCW6652-6293-XL</t>
  </si>
  <si>
    <t>661814874937</t>
  </si>
  <si>
    <t>TCW6652-6293-XS</t>
  </si>
  <si>
    <t>661814874852</t>
  </si>
  <si>
    <t>Say Tn Words Total US Dollars:</t>
  </si>
  <si>
    <t>Twenty Eight Thousand Three Thousand and Ninety Four and Cents Sixty Three only.</t>
  </si>
  <si>
    <t>Additional Remarks</t>
  </si>
  <si>
    <t>Seller Full Company Name and Adress :</t>
  </si>
  <si>
    <t>UNIT 103, BLOCK 1, NO. 218 HUTING NORTH ROAD, SONGJIANG DISTRICT,SHANGHAI,CHINA</t>
  </si>
  <si>
    <t>(Authorized Signature/ Company Mark)</t>
  </si>
  <si>
    <t>ROOM 401,  BUILDING 19,  NO. 900 HUTING NORTH ROAD, SONGJIANG DISTRICT, SHANGHAI, CHINA</t>
  </si>
  <si>
    <t>ATTN:SHERRY     TEL:86-21-37705691</t>
  </si>
  <si>
    <r>
      <rPr>
        <b/>
        <sz val="12"/>
        <rFont val="Times New Roman"/>
        <charset val="134"/>
      </rPr>
      <t>A</t>
    </r>
    <r>
      <rPr>
        <sz val="10"/>
        <rFont val="Arial"/>
        <charset val="134"/>
      </rPr>
      <t>TTN:SHERRY       TEL:86-21-37705691</t>
    </r>
  </si>
  <si>
    <t xml:space="preserve">Packing        List </t>
  </si>
  <si>
    <t xml:space="preserve">PO # </t>
  </si>
  <si>
    <t>Invoice NO.</t>
  </si>
  <si>
    <t xml:space="preserve">S/C  NO.  </t>
  </si>
  <si>
    <t>Packinglist No.</t>
  </si>
  <si>
    <t>DATE:</t>
  </si>
  <si>
    <t>PAGE:</t>
  </si>
  <si>
    <t>CTN #</t>
  </si>
  <si>
    <t>SKU#</t>
  </si>
  <si>
    <t>PCS/CTN</t>
  </si>
  <si>
    <t xml:space="preserve">  N/W(KGS)</t>
  </si>
  <si>
    <t xml:space="preserve">  G/W(KGS)</t>
  </si>
  <si>
    <t>MEASURE</t>
  </si>
  <si>
    <t>1#</t>
  </si>
  <si>
    <t>52X34X40CM</t>
  </si>
  <si>
    <t>2#</t>
  </si>
  <si>
    <t>3#</t>
  </si>
  <si>
    <t>4#</t>
  </si>
  <si>
    <t>5#</t>
  </si>
  <si>
    <t>6#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</si>
  <si>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</si>
  <si>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</si>
  <si>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</si>
  <si>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</si>
  <si>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</si>
  <si>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</si>
  <si>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</si>
  <si>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</si>
  <si>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</si>
  <si>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</si>
  <si>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</si>
  <si>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</si>
  <si>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</si>
  <si>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</si>
  <si>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</si>
  <si>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</si>
  <si>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</si>
  <si>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</si>
  <si>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</si>
  <si>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</si>
  <si>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</si>
  <si>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</si>
  <si>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</si>
  <si>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</si>
  <si>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</si>
  <si>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</si>
  <si>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</si>
  <si>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</si>
  <si>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</si>
  <si>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</si>
  <si>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37#</t>
  </si>
  <si>
    <t>38#</t>
  </si>
  <si>
    <t>39#</t>
  </si>
  <si>
    <t>40#</t>
  </si>
  <si>
    <t>41#</t>
  </si>
  <si>
    <t>42#</t>
  </si>
  <si>
    <t>43#</t>
  </si>
  <si>
    <t>44#</t>
  </si>
  <si>
    <t>45#</t>
  </si>
  <si>
    <t>TOTAL:</t>
  </si>
  <si>
    <t>7CBM</t>
  </si>
  <si>
    <t>Summary</t>
  </si>
  <si>
    <t>XS</t>
  </si>
  <si>
    <t>S</t>
  </si>
  <si>
    <t>M</t>
  </si>
  <si>
    <t>L</t>
  </si>
  <si>
    <t>XL</t>
  </si>
  <si>
    <t>XXL</t>
  </si>
  <si>
    <t>SM</t>
  </si>
  <si>
    <t>TPP</t>
  </si>
  <si>
    <t>ONE</t>
  </si>
  <si>
    <t>Total</t>
  </si>
  <si>
    <t>OSA</t>
  </si>
  <si>
    <t>Style #</t>
  </si>
  <si>
    <t>Color #</t>
  </si>
  <si>
    <t>Total summary</t>
  </si>
  <si>
    <t>No of Units</t>
  </si>
  <si>
    <t>No of cartons</t>
  </si>
  <si>
    <t>97 CTNS</t>
  </si>
  <si>
    <t>CBM</t>
  </si>
  <si>
    <t>7 CBM</t>
  </si>
  <si>
    <t>Gross Weight</t>
  </si>
  <si>
    <t>1216 KGS</t>
  </si>
  <si>
    <t xml:space="preserve">Net Weight </t>
  </si>
  <si>
    <t>1119 KGS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</si>
</sst>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&quot; KGS&quot;"/>
    <numFmt numFmtId="177" formatCode="&quot;$&quot;#,##0.00"/>
  </numFmts>
  <fonts count="48">
    <font>
      <sz val="11"/>
      <color theme="1"/>
      <name val="Aptos Narrow"/>
      <charset val="134"/>
      <scheme val="minor"/>
    </font>
    <font>
      <b/>
      <sz val="14"/>
      <name val="Times New Roman"/>
      <charset val="134"/>
    </font>
    <font>
      <sz val="10"/>
      <name val="Arial"/>
      <charset val="134"/>
    </font>
    <font>
      <b/>
      <sz val="12"/>
      <name val="Times New Roman"/>
      <charset val="134"/>
    </font>
    <font>
      <b/>
      <sz val="16"/>
      <name val="Arial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name val="Arial"/>
      <charset val="134"/>
    </font>
    <font>
      <sz val="9"/>
      <color theme="1"/>
      <name val="微软雅黑"/>
      <charset val="134"/>
    </font>
    <font>
      <sz val="8"/>
      <name val="微软雅黑"/>
      <charset val="134"/>
    </font>
    <font>
      <b/>
      <sz val="16"/>
      <color theme="1"/>
      <name val="Aptos Narrow"/>
      <charset val="134"/>
    </font>
    <font>
      <b/>
      <sz val="8"/>
      <color theme="1"/>
      <name val="Aptos Narrow"/>
      <charset val="134"/>
    </font>
    <font>
      <b/>
      <u/>
      <sz val="12"/>
      <color theme="1"/>
      <name val="Aptos Narrow"/>
      <charset val="134"/>
    </font>
    <font>
      <sz val="11"/>
      <color theme="1"/>
      <name val="Aptos Narrow"/>
      <charset val="134"/>
    </font>
    <font>
      <b/>
      <sz val="10"/>
      <color theme="1"/>
      <name val="Aptos Narrow"/>
      <charset val="134"/>
    </font>
    <font>
      <sz val="14"/>
      <color theme="1"/>
      <name val="Aptos Narrow"/>
      <charset val="134"/>
    </font>
    <font>
      <sz val="8"/>
      <color theme="1"/>
      <name val="Aptos Narrow"/>
      <charset val="134"/>
    </font>
    <font>
      <b/>
      <sz val="9"/>
      <color theme="1"/>
      <name val="Times New Roman"/>
      <charset val="134"/>
    </font>
    <font>
      <sz val="12"/>
      <color theme="1"/>
      <name val="SimSun"/>
      <charset val="134"/>
    </font>
    <font>
      <b/>
      <sz val="11"/>
      <color theme="1"/>
      <name val="Aptos Narrow"/>
      <charset val="134"/>
    </font>
    <font>
      <sz val="10"/>
      <color theme="1"/>
      <name val="Aptos Narrow"/>
      <charset val="134"/>
    </font>
    <font>
      <b/>
      <u/>
      <sz val="8"/>
      <color theme="1"/>
      <name val="Aptos Narrow"/>
      <charset val="134"/>
    </font>
    <font>
      <b/>
      <sz val="10"/>
      <color theme="1"/>
      <name val="Calibri"/>
      <charset val="134"/>
    </font>
    <font>
      <sz val="11"/>
      <color theme="1"/>
      <name val="Arial"/>
      <charset val="134"/>
    </font>
    <font>
      <sz val="10"/>
      <color theme="1"/>
      <name val="Calibri"/>
      <charset val="134"/>
    </font>
    <font>
      <b/>
      <u/>
      <sz val="9"/>
      <color theme="1"/>
      <name val="Times New Roman"/>
      <charset val="134"/>
    </font>
    <font>
      <sz val="9"/>
      <color theme="1"/>
      <name val="Times New Roman"/>
      <charset val="134"/>
    </font>
    <font>
      <sz val="9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3" borderId="2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4" borderId="25" applyNumberFormat="0" applyAlignment="0" applyProtection="0">
      <alignment vertical="center"/>
    </xf>
    <xf numFmtId="0" fontId="37" fillId="5" borderId="26" applyNumberFormat="0" applyAlignment="0" applyProtection="0">
      <alignment vertical="center"/>
    </xf>
    <xf numFmtId="0" fontId="38" fillId="5" borderId="25" applyNumberFormat="0" applyAlignment="0" applyProtection="0">
      <alignment vertical="center"/>
    </xf>
    <xf numFmtId="0" fontId="39" fillId="6" borderId="27" applyNumberFormat="0" applyAlignment="0" applyProtection="0">
      <alignment vertical="center"/>
    </xf>
    <xf numFmtId="0" fontId="40" fillId="0" borderId="28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</cellStyleXfs>
  <cellXfs count="106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5" fillId="0" borderId="0" xfId="49" applyFont="1" applyAlignment="1">
      <alignment horizontal="left"/>
    </xf>
    <xf numFmtId="0" fontId="6" fillId="0" borderId="0" xfId="49" applyFont="1"/>
    <xf numFmtId="0" fontId="5" fillId="0" borderId="0" xfId="49" applyFont="1"/>
    <xf numFmtId="0" fontId="5" fillId="0" borderId="0" xfId="50" applyFont="1" applyAlignment="1">
      <alignment vertical="center"/>
    </xf>
    <xf numFmtId="0" fontId="6" fillId="0" borderId="0" xfId="50" applyFont="1" applyAlignment="1"/>
    <xf numFmtId="0" fontId="7" fillId="0" borderId="0" xfId="0" applyFont="1" applyFill="1" applyAlignment="1"/>
    <xf numFmtId="0" fontId="6" fillId="0" borderId="0" xfId="49" applyFont="1" applyAlignment="1">
      <alignment horizontal="left"/>
    </xf>
    <xf numFmtId="14" fontId="7" fillId="0" borderId="0" xfId="0" applyNumberFormat="1" applyFont="1" applyFill="1" applyAlignment="1">
      <alignment horizontal="left"/>
    </xf>
    <xf numFmtId="0" fontId="6" fillId="0" borderId="0" xfId="50" applyFont="1" applyAlignment="1">
      <alignment horizontal="left"/>
    </xf>
    <xf numFmtId="0" fontId="2" fillId="0" borderId="0" xfId="0" applyFont="1" applyFill="1" applyAlignment="1">
      <alignment horizontal="left"/>
    </xf>
    <xf numFmtId="14" fontId="7" fillId="0" borderId="0" xfId="0" applyNumberFormat="1" applyFont="1" applyFill="1" applyAlignment="1"/>
    <xf numFmtId="0" fontId="7" fillId="0" borderId="0" xfId="0" applyFont="1" applyFill="1" applyAlignment="1">
      <alignment horizontal="left"/>
    </xf>
    <xf numFmtId="0" fontId="6" fillId="0" borderId="4" xfId="49" applyFont="1" applyBorder="1" applyAlignment="1">
      <alignment horizontal="center"/>
    </xf>
    <xf numFmtId="0" fontId="6" fillId="0" borderId="4" xfId="49" applyFont="1" applyBorder="1" applyAlignment="1">
      <alignment horizontal="left"/>
    </xf>
    <xf numFmtId="0" fontId="6" fillId="0" borderId="2" xfId="49" applyFont="1" applyBorder="1" applyAlignment="1">
      <alignment horizontal="center"/>
    </xf>
    <xf numFmtId="0" fontId="8" fillId="0" borderId="4" xfId="49" applyFont="1" applyBorder="1" applyAlignment="1">
      <alignment horizontal="center"/>
    </xf>
    <xf numFmtId="176" fontId="6" fillId="0" borderId="2" xfId="49" applyNumberFormat="1" applyFont="1" applyBorder="1" applyAlignment="1">
      <alignment horizontal="center"/>
    </xf>
    <xf numFmtId="0" fontId="6" fillId="0" borderId="5" xfId="49" applyFont="1" applyBorder="1" applyAlignment="1">
      <alignment horizontal="center"/>
    </xf>
    <xf numFmtId="176" fontId="6" fillId="0" borderId="5" xfId="49" applyNumberFormat="1" applyFont="1" applyBorder="1" applyAlignment="1">
      <alignment horizontal="center"/>
    </xf>
    <xf numFmtId="0" fontId="6" fillId="0" borderId="6" xfId="49" applyFont="1" applyBorder="1" applyAlignment="1">
      <alignment horizontal="center"/>
    </xf>
    <xf numFmtId="176" fontId="6" fillId="0" borderId="6" xfId="49" applyNumberFormat="1" applyFont="1" applyBorder="1" applyAlignment="1">
      <alignment horizontal="center"/>
    </xf>
    <xf numFmtId="176" fontId="6" fillId="0" borderId="4" xfId="49" applyNumberFormat="1" applyFont="1" applyBorder="1" applyAlignment="1">
      <alignment horizontal="center"/>
    </xf>
    <xf numFmtId="0" fontId="9" fillId="0" borderId="4" xfId="49" applyFont="1" applyBorder="1" applyAlignment="1">
      <alignment horizontal="left"/>
    </xf>
    <xf numFmtId="0" fontId="5" fillId="2" borderId="4" xfId="51" applyFont="1" applyFill="1" applyBorder="1" applyAlignment="1">
      <alignment horizontal="left" vertical="center"/>
    </xf>
    <xf numFmtId="0" fontId="5" fillId="2" borderId="4" xfId="51" applyFont="1" applyFill="1" applyBorder="1" applyAlignment="1">
      <alignment horizontal="center" vertical="center"/>
    </xf>
    <xf numFmtId="0" fontId="5" fillId="2" borderId="4" xfId="51" applyFont="1" applyFill="1" applyBorder="1" applyAlignment="1">
      <alignment horizontal="right"/>
    </xf>
    <xf numFmtId="0" fontId="5" fillId="2" borderId="2" xfId="51" applyFont="1" applyFill="1" applyBorder="1" applyAlignment="1">
      <alignment horizontal="center" vertical="center"/>
    </xf>
    <xf numFmtId="0" fontId="5" fillId="2" borderId="5" xfId="51" applyFont="1" applyFill="1" applyBorder="1" applyAlignment="1">
      <alignment horizontal="center" vertical="center"/>
    </xf>
    <xf numFmtId="0" fontId="5" fillId="2" borderId="6" xfId="51" applyFont="1" applyFill="1" applyBorder="1" applyAlignment="1">
      <alignment horizontal="center" vertical="center"/>
    </xf>
    <xf numFmtId="0" fontId="6" fillId="2" borderId="2" xfId="51" applyFont="1" applyFill="1" applyBorder="1" applyAlignment="1">
      <alignment horizontal="left" vertical="center"/>
    </xf>
    <xf numFmtId="0" fontId="6" fillId="2" borderId="4" xfId="51" applyFont="1" applyFill="1" applyBorder="1"/>
    <xf numFmtId="0" fontId="6" fillId="0" borderId="4" xfId="51" applyFont="1" applyBorder="1"/>
    <xf numFmtId="0" fontId="6" fillId="2" borderId="6" xfId="51" applyFont="1" applyFill="1" applyBorder="1" applyAlignment="1">
      <alignment horizontal="left" vertical="center"/>
    </xf>
    <xf numFmtId="0" fontId="5" fillId="2" borderId="7" xfId="51" applyFont="1" applyFill="1" applyBorder="1" applyAlignment="1">
      <alignment horizontal="left"/>
    </xf>
    <xf numFmtId="0" fontId="5" fillId="2" borderId="8" xfId="51" applyFont="1" applyFill="1" applyBorder="1" applyAlignment="1">
      <alignment horizontal="center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/>
    <xf numFmtId="0" fontId="6" fillId="0" borderId="0" xfId="52" applyFont="1" applyAlignment="1">
      <alignment horizontal="left"/>
    </xf>
    <xf numFmtId="0" fontId="6" fillId="0" borderId="0" xfId="52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wrapText="1"/>
    </xf>
    <xf numFmtId="0" fontId="18" fillId="0" borderId="11" xfId="0" applyFont="1" applyBorder="1"/>
    <xf numFmtId="0" fontId="19" fillId="0" borderId="0" xfId="0" applyFont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8" fillId="0" borderId="0" xfId="0" applyFont="1"/>
    <xf numFmtId="0" fontId="1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left" vertical="center"/>
    </xf>
    <xf numFmtId="0" fontId="16" fillId="0" borderId="0" xfId="0" applyFont="1"/>
    <xf numFmtId="0" fontId="20" fillId="0" borderId="0" xfId="0" applyFont="1"/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9" fillId="0" borderId="0" xfId="0" applyFont="1"/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14" xfId="0" applyFont="1" applyBorder="1"/>
    <xf numFmtId="0" fontId="22" fillId="0" borderId="15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3" fillId="0" borderId="0" xfId="0" applyFont="1" applyAlignment="1">
      <alignment horizontal="left"/>
    </xf>
    <xf numFmtId="0" fontId="0" fillId="0" borderId="11" xfId="0" applyBorder="1"/>
    <xf numFmtId="0" fontId="0" fillId="0" borderId="0" xfId="0" applyFont="1"/>
    <xf numFmtId="0" fontId="13" fillId="0" borderId="19" xfId="0" applyFont="1" applyBorder="1"/>
    <xf numFmtId="177" fontId="13" fillId="0" borderId="11" xfId="0" applyNumberFormat="1" applyFont="1" applyBorder="1"/>
    <xf numFmtId="177" fontId="13" fillId="0" borderId="19" xfId="0" applyNumberFormat="1" applyFont="1" applyBorder="1"/>
    <xf numFmtId="0" fontId="24" fillId="0" borderId="15" xfId="0" applyFont="1" applyBorder="1" applyAlignment="1">
      <alignment wrapText="1"/>
    </xf>
    <xf numFmtId="0" fontId="24" fillId="0" borderId="16" xfId="0" applyFont="1" applyBorder="1" applyAlignment="1">
      <alignment wrapText="1"/>
    </xf>
    <xf numFmtId="0" fontId="13" fillId="0" borderId="16" xfId="0" applyFont="1" applyBorder="1"/>
    <xf numFmtId="0" fontId="13" fillId="0" borderId="17" xfId="0" applyFont="1" applyBorder="1"/>
    <xf numFmtId="177" fontId="13" fillId="0" borderId="17" xfId="0" applyNumberFormat="1" applyFont="1" applyBorder="1"/>
    <xf numFmtId="0" fontId="17" fillId="0" borderId="20" xfId="0" applyFont="1" applyBorder="1" applyAlignment="1">
      <alignment vertical="center"/>
    </xf>
    <xf numFmtId="0" fontId="24" fillId="0" borderId="9" xfId="0" applyFont="1" applyBorder="1" applyAlignment="1">
      <alignment wrapText="1"/>
    </xf>
    <xf numFmtId="0" fontId="24" fillId="0" borderId="10" xfId="0" applyFont="1" applyBorder="1" applyAlignment="1">
      <alignment wrapText="1"/>
    </xf>
    <xf numFmtId="0" fontId="24" fillId="0" borderId="21" xfId="0" applyFont="1" applyBorder="1" applyAlignment="1">
      <alignment wrapText="1"/>
    </xf>
    <xf numFmtId="0" fontId="24" fillId="0" borderId="0" xfId="0" applyFont="1" applyAlignment="1">
      <alignment wrapText="1"/>
    </xf>
    <xf numFmtId="0" fontId="24" fillId="0" borderId="11" xfId="0" applyFont="1" applyBorder="1" applyAlignment="1">
      <alignment wrapText="1"/>
    </xf>
    <xf numFmtId="0" fontId="17" fillId="0" borderId="12" xfId="0" applyFont="1" applyBorder="1" applyAlignment="1">
      <alignment vertical="center"/>
    </xf>
    <xf numFmtId="0" fontId="24" fillId="0" borderId="13" xfId="0" applyFont="1" applyBorder="1" applyAlignment="1">
      <alignment wrapText="1"/>
    </xf>
    <xf numFmtId="0" fontId="24" fillId="0" borderId="14" xfId="0" applyFont="1" applyBorder="1" applyAlignment="1">
      <alignment wrapText="1"/>
    </xf>
    <xf numFmtId="0" fontId="25" fillId="0" borderId="20" xfId="0" applyFont="1" applyBorder="1" applyAlignment="1">
      <alignment wrapText="1"/>
    </xf>
    <xf numFmtId="0" fontId="13" fillId="0" borderId="9" xfId="0" applyFont="1" applyBorder="1"/>
    <xf numFmtId="0" fontId="26" fillId="0" borderId="0" xfId="0" applyFont="1" applyAlignment="1">
      <alignment wrapText="1"/>
    </xf>
    <xf numFmtId="0" fontId="26" fillId="0" borderId="0" xfId="0" applyFont="1" applyAlignment="1">
      <alignment vertical="center"/>
    </xf>
    <xf numFmtId="0" fontId="27" fillId="0" borderId="0" xfId="0" applyFont="1" applyFill="1" applyBorder="1" applyAlignment="1"/>
    <xf numFmtId="0" fontId="27" fillId="0" borderId="0" xfId="0" applyFont="1" applyFill="1" applyAlignment="1"/>
    <xf numFmtId="0" fontId="17" fillId="0" borderId="21" xfId="0" applyFont="1" applyBorder="1" applyAlignment="1">
      <alignment wrapText="1"/>
    </xf>
    <xf numFmtId="0" fontId="13" fillId="0" borderId="21" xfId="0" applyFont="1" applyBorder="1"/>
    <xf numFmtId="0" fontId="14" fillId="0" borderId="0" xfId="0" applyFont="1" applyAlignment="1" quotePrefix="1">
      <alignment vertical="center"/>
    </xf>
    <xf numFmtId="0" fontId="23" fillId="0" borderId="0" xfId="0" applyFont="1" applyAlignment="1" quotePrefix="1">
      <alignment horizontal="left"/>
    </xf>
    <xf numFmtId="0" fontId="6" fillId="0" borderId="0" xfId="50" applyFont="1" applyAlignment="1" quotePrefix="1"/>
    <xf numFmtId="0" fontId="6" fillId="0" borderId="4" xfId="49" applyFont="1" applyBorder="1" applyAlignment="1" quotePrefix="1">
      <alignment horizont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6" xfId="50"/>
    <cellStyle name="常规 7" xfId="51"/>
    <cellStyle name="常规 8" xf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1131"/>
  <sheetViews>
    <sheetView tabSelected="1" zoomScale="85" zoomScaleNormal="85" topLeftCell="A147" workbookViewId="0">
      <selection activeCell="C197" sqref="C197"/>
    </sheetView>
  </sheetViews>
  <sheetFormatPr defaultColWidth="12.6333333333333" defaultRowHeight="15" customHeight="1"/>
  <cols>
    <col min="1" max="1" width="11.9083333333333" customWidth="1"/>
    <col min="2" max="2" width="19.25" customWidth="1"/>
    <col min="3" max="3" width="17.5" customWidth="1"/>
    <col min="4" max="4" width="10.1333333333333" customWidth="1"/>
    <col min="5" max="5" width="42.5833333333333" customWidth="1"/>
    <col min="6" max="6" width="35.2916666666667" customWidth="1"/>
    <col min="7" max="7" width="11.8666666666667" customWidth="1"/>
    <col min="8" max="8" width="11.4" customWidth="1"/>
    <col min="9" max="9" width="63.4" customWidth="1"/>
    <col min="10" max="10" width="15.2916666666667" customWidth="1"/>
    <col min="11" max="11" width="12.1333333333333" customWidth="1"/>
    <col min="12" max="12" width="11.8666666666667" customWidth="1"/>
    <col min="13" max="13" width="11.7" customWidth="1"/>
    <col min="14" max="14" width="8.86666666666667" customWidth="1"/>
    <col min="15" max="26" width="8.63333333333333" customWidth="1"/>
  </cols>
  <sheetData>
    <row r="1" ht="26.25" customHeight="1" spans="1:14">
      <c r="A1" s="46" t="s">
        <v>0</v>
      </c>
      <c r="B1" s="46"/>
      <c r="C1" s="47"/>
      <c r="D1" s="47"/>
      <c r="E1" s="47"/>
      <c r="F1" s="47"/>
      <c r="G1" s="46"/>
      <c r="H1" s="46"/>
      <c r="I1" s="48"/>
      <c r="J1" s="48"/>
      <c r="K1" s="48"/>
      <c r="L1" s="48"/>
      <c r="M1" s="49"/>
      <c r="N1" s="50"/>
    </row>
    <row r="2" ht="14.25" customHeight="1" spans="1:14">
      <c r="A2" s="51" t="s">
        <v>1</v>
      </c>
      <c r="B2" s="52"/>
      <c r="C2" s="53"/>
      <c r="D2" s="53"/>
      <c r="E2" s="53"/>
      <c r="F2" s="53"/>
      <c r="G2" s="52"/>
      <c r="H2" s="52"/>
      <c r="I2" s="54" t="s">
        <v>2</v>
      </c>
      <c r="J2" s="106" t="s">
        <v>3</v>
      </c>
      <c r="K2" s="50"/>
      <c r="L2" s="51"/>
      <c r="M2" s="55"/>
      <c r="N2" s="50"/>
    </row>
    <row r="3" ht="14.25" customHeight="1" spans="1:14">
      <c r="A3" s="51" t="s">
        <v>4</v>
      </c>
      <c r="B3" s="51"/>
      <c r="C3" s="47"/>
      <c r="D3" s="47"/>
      <c r="E3" s="47"/>
      <c r="F3" s="47"/>
      <c r="G3" s="51"/>
      <c r="H3" s="51"/>
      <c r="I3" s="51" t="s">
        <v>5</v>
      </c>
      <c r="J3" s="56" t="s">
        <v>6</v>
      </c>
      <c r="K3" s="50"/>
      <c r="L3" s="50"/>
      <c r="M3" s="57"/>
      <c r="N3" s="50"/>
    </row>
    <row r="4" ht="14.25" customHeight="1" spans="1:14">
      <c r="B4" s="58"/>
      <c r="C4" s="59"/>
      <c r="D4" s="59"/>
      <c r="E4" s="59"/>
      <c r="F4" s="59"/>
      <c r="G4" s="60"/>
      <c r="H4" s="61"/>
      <c r="I4" s="51" t="s">
        <v>7</v>
      </c>
      <c r="J4" s="62">
        <v>46188</v>
      </c>
      <c r="K4" s="50"/>
      <c r="L4" s="50"/>
      <c r="M4" s="57"/>
      <c r="N4" s="50"/>
    </row>
    <row r="5" ht="14.25" customHeight="1" spans="1:14">
      <c r="A5" s="58"/>
      <c r="B5" s="58"/>
      <c r="C5" s="63"/>
      <c r="D5" s="63"/>
      <c r="E5" s="63"/>
      <c r="F5" s="63"/>
      <c r="G5" s="58"/>
      <c r="H5" s="64"/>
      <c r="I5" s="50"/>
      <c r="J5" s="50"/>
      <c r="K5" s="50"/>
      <c r="L5" s="50"/>
      <c r="M5" s="57"/>
      <c r="N5" s="50"/>
    </row>
    <row r="6" ht="14.25" customHeight="1" spans="1:14">
      <c r="A6" s="50" t="s">
        <v>8</v>
      </c>
      <c r="B6" s="50"/>
      <c r="C6" s="50"/>
      <c r="D6" s="50"/>
      <c r="E6" s="63"/>
      <c r="F6" s="63"/>
      <c r="G6" s="58"/>
      <c r="H6" s="64"/>
      <c r="I6" s="65" t="s">
        <v>9</v>
      </c>
      <c r="J6" s="50" t="s">
        <v>10</v>
      </c>
      <c r="K6" s="50"/>
      <c r="L6" s="50"/>
      <c r="M6" s="57"/>
      <c r="N6" s="50"/>
    </row>
    <row r="7" ht="14.25" customHeight="1" spans="1:14">
      <c r="A7" s="50" t="s">
        <v>11</v>
      </c>
      <c r="B7" s="58"/>
      <c r="C7" s="63"/>
      <c r="D7" s="63"/>
      <c r="E7" s="63"/>
      <c r="F7" s="63"/>
      <c r="G7" s="58"/>
      <c r="H7" s="64"/>
      <c r="I7" s="54" t="s">
        <v>12</v>
      </c>
      <c r="J7" s="50"/>
      <c r="K7" s="50"/>
      <c r="L7" s="50"/>
      <c r="M7" s="57"/>
      <c r="N7" s="50"/>
    </row>
    <row r="8" ht="14.25" customHeight="1" spans="1:14">
      <c r="A8" s="50" t="s">
        <v>13</v>
      </c>
      <c r="B8" s="58"/>
      <c r="C8" s="63"/>
      <c r="D8" s="63"/>
      <c r="E8" s="63"/>
      <c r="F8" s="63"/>
      <c r="G8" s="58"/>
      <c r="H8" s="64"/>
      <c r="I8" s="54" t="s">
        <v>14</v>
      </c>
      <c r="J8" s="50"/>
      <c r="K8" s="50"/>
      <c r="L8" s="50"/>
      <c r="M8" s="57"/>
      <c r="N8" s="50"/>
    </row>
    <row r="9" ht="14.25" customHeight="1" spans="1:14">
      <c r="A9" s="50" t="s">
        <v>4</v>
      </c>
      <c r="B9" s="58"/>
      <c r="C9" s="63"/>
      <c r="D9" s="63"/>
      <c r="E9" s="63"/>
      <c r="F9" s="63"/>
      <c r="G9" s="58"/>
      <c r="H9" s="64"/>
      <c r="I9" s="54" t="s">
        <v>15</v>
      </c>
      <c r="J9" s="50" t="s">
        <v>16</v>
      </c>
      <c r="K9" s="50"/>
      <c r="L9" s="50"/>
      <c r="M9" s="57"/>
      <c r="N9" s="50"/>
    </row>
    <row r="10" ht="14.25" customHeight="1" spans="1:14">
      <c r="A10" s="58"/>
      <c r="B10" s="58"/>
      <c r="C10" s="63"/>
      <c r="D10" s="63"/>
      <c r="E10" s="63"/>
      <c r="F10" s="63"/>
      <c r="G10" s="58"/>
      <c r="H10" s="64"/>
      <c r="I10" s="54" t="s">
        <v>17</v>
      </c>
      <c r="J10" s="50" t="s">
        <v>18</v>
      </c>
      <c r="K10" s="50"/>
      <c r="L10" s="50"/>
      <c r="M10" s="57"/>
      <c r="N10" s="50"/>
    </row>
    <row r="11" ht="14.25" customHeight="1" spans="1:14">
      <c r="A11" s="58"/>
      <c r="B11" s="58"/>
      <c r="C11" s="63"/>
      <c r="D11" s="63"/>
      <c r="E11" s="63"/>
      <c r="F11" s="63"/>
      <c r="G11" s="58"/>
      <c r="H11" s="64"/>
      <c r="I11" s="54" t="s">
        <v>19</v>
      </c>
      <c r="J11" s="50"/>
      <c r="K11" s="50"/>
      <c r="L11" s="50"/>
      <c r="M11" s="57"/>
      <c r="N11" s="50"/>
    </row>
    <row r="12" ht="14.25" customHeight="1" spans="1:14">
      <c r="A12" s="66" t="s">
        <v>20</v>
      </c>
      <c r="I12" s="51" t="s">
        <v>21</v>
      </c>
      <c r="J12" s="67" t="s">
        <v>22</v>
      </c>
      <c r="K12" s="50"/>
      <c r="L12" s="50"/>
      <c r="M12" s="57"/>
      <c r="N12" s="50"/>
    </row>
    <row r="13" ht="14.25" customHeight="1" spans="1:14">
      <c r="A13" s="58"/>
      <c r="B13" s="67"/>
      <c r="C13" s="68"/>
      <c r="D13" s="68"/>
      <c r="E13" s="68"/>
      <c r="F13" s="68"/>
      <c r="G13" s="67"/>
      <c r="H13" s="67"/>
      <c r="I13" s="54"/>
      <c r="J13" s="58"/>
      <c r="K13" s="50"/>
      <c r="L13" s="50"/>
      <c r="M13" s="57"/>
      <c r="N13" s="50"/>
    </row>
    <row r="14" ht="14.25" customHeight="1" spans="1:14">
      <c r="A14" s="69" t="s">
        <v>23</v>
      </c>
      <c r="B14" s="58"/>
      <c r="C14" s="58"/>
      <c r="D14" s="69" t="s">
        <v>24</v>
      </c>
      <c r="E14" s="63"/>
      <c r="F14" s="63"/>
      <c r="G14" s="58"/>
      <c r="H14" s="64"/>
      <c r="I14" s="54"/>
      <c r="J14" s="58"/>
      <c r="K14" s="50"/>
      <c r="L14" s="50"/>
      <c r="M14" s="57"/>
      <c r="N14" s="50"/>
    </row>
    <row r="15" ht="16.5" customHeight="1" spans="1:14">
      <c r="A15" s="50" t="s">
        <v>25</v>
      </c>
      <c r="B15" s="63"/>
      <c r="C15" s="58"/>
      <c r="D15" s="50" t="s">
        <v>26</v>
      </c>
      <c r="E15" s="63"/>
      <c r="F15" s="63"/>
      <c r="G15" s="58"/>
      <c r="H15" s="64"/>
      <c r="I15" s="54"/>
      <c r="J15" s="58"/>
      <c r="K15" s="50"/>
      <c r="L15" s="50"/>
      <c r="M15" s="57"/>
      <c r="N15" s="50"/>
    </row>
    <row r="16" ht="14.25" customHeight="1" spans="1:14">
      <c r="A16" s="50" t="s">
        <v>27</v>
      </c>
      <c r="B16" s="63"/>
      <c r="C16" s="58"/>
      <c r="D16" s="50" t="s">
        <v>28</v>
      </c>
      <c r="E16" s="63"/>
      <c r="F16" s="63"/>
      <c r="G16" s="58"/>
      <c r="H16" s="64"/>
      <c r="I16" s="54"/>
      <c r="J16" s="58"/>
      <c r="K16" s="50"/>
      <c r="L16" s="50"/>
      <c r="M16" s="57"/>
      <c r="N16" s="50"/>
    </row>
    <row r="17" ht="14.25" customHeight="1" spans="1:14">
      <c r="A17" s="50" t="s">
        <v>29</v>
      </c>
      <c r="B17" s="63"/>
      <c r="C17" s="63"/>
      <c r="D17" s="50" t="s">
        <v>30</v>
      </c>
      <c r="E17" s="63"/>
      <c r="F17" s="63"/>
      <c r="G17" s="58"/>
      <c r="H17" s="64"/>
      <c r="I17" s="54"/>
      <c r="J17" s="58"/>
      <c r="K17" s="50"/>
      <c r="L17" s="50"/>
      <c r="M17" s="57"/>
      <c r="N17" s="50"/>
    </row>
    <row r="18" ht="14.25" customHeight="1" spans="1:14">
      <c r="A18" s="8"/>
      <c r="B18" s="58"/>
      <c r="C18" s="63"/>
      <c r="D18" s="50" t="s">
        <v>31</v>
      </c>
      <c r="E18" s="63"/>
      <c r="F18" s="63"/>
      <c r="G18" s="58"/>
      <c r="H18" s="64"/>
      <c r="I18" s="54"/>
      <c r="J18" s="58"/>
      <c r="K18" s="50"/>
      <c r="L18" s="50"/>
      <c r="M18" s="57"/>
      <c r="N18" s="50"/>
    </row>
    <row r="19" ht="14.25" customHeight="1" spans="1:14">
      <c r="A19" s="58"/>
      <c r="B19" s="58"/>
      <c r="C19" s="63"/>
      <c r="D19" s="63"/>
      <c r="E19" s="63"/>
      <c r="F19" s="63"/>
      <c r="G19" s="58"/>
      <c r="H19" s="64"/>
      <c r="I19" s="50"/>
      <c r="J19" s="50"/>
      <c r="K19" s="50"/>
      <c r="L19" s="50"/>
      <c r="M19" s="70"/>
      <c r="N19" s="50"/>
    </row>
    <row r="20" ht="14.25" customHeight="1" spans="1:14">
      <c r="A20" s="71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3"/>
      <c r="N20" s="50"/>
    </row>
    <row r="21" ht="24" customHeight="1" spans="1:14">
      <c r="A21" s="74" t="s">
        <v>32</v>
      </c>
      <c r="B21" s="75" t="s">
        <v>33</v>
      </c>
      <c r="C21" s="75" t="s">
        <v>34</v>
      </c>
      <c r="D21" s="75" t="s">
        <v>35</v>
      </c>
      <c r="E21" s="75" t="s">
        <v>36</v>
      </c>
      <c r="F21" s="75" t="s">
        <v>37</v>
      </c>
      <c r="G21" s="75" t="s">
        <v>38</v>
      </c>
      <c r="H21" s="75" t="s">
        <v>39</v>
      </c>
      <c r="I21" s="75" t="s">
        <v>40</v>
      </c>
      <c r="J21" s="75" t="s">
        <v>41</v>
      </c>
      <c r="K21" s="76" t="s">
        <v>42</v>
      </c>
      <c r="L21" s="76" t="s">
        <v>43</v>
      </c>
      <c r="M21" s="77" t="s">
        <v>44</v>
      </c>
      <c r="N21" s="50"/>
    </row>
    <row r="22" ht="14.25" customHeight="1" spans="1:14">
      <c r="A22" t="s">
        <v>45</v>
      </c>
      <c r="B22" t="s">
        <v>46</v>
      </c>
      <c r="C22" t="s">
        <v>47</v>
      </c>
      <c r="D22" t="s">
        <v>48</v>
      </c>
      <c r="E22" t="s">
        <v>49</v>
      </c>
      <c r="F22" t="s">
        <v>50</v>
      </c>
      <c r="G22" t="s">
        <v>51</v>
      </c>
      <c r="H22" s="78" t="s">
        <v>52</v>
      </c>
      <c r="I22" s="107" t="s">
        <v>53</v>
      </c>
      <c r="J22" s="79" t="s">
        <v>54</v>
      </c>
      <c r="K22" s="80">
        <v>10</v>
      </c>
      <c r="L22" s="81">
        <v>16.94</v>
      </c>
      <c r="M22" s="82">
        <f t="shared" ref="M22:M53" si="0">K22*L22</f>
        <v>169.4</v>
      </c>
      <c r="N22" s="50"/>
    </row>
    <row r="23" ht="14.25" customHeight="1" spans="1:14">
      <c r="A23" t="s">
        <v>45</v>
      </c>
      <c r="B23" t="s">
        <v>55</v>
      </c>
      <c r="C23" t="s">
        <v>56</v>
      </c>
      <c r="D23" t="s">
        <v>48</v>
      </c>
      <c r="E23" t="s">
        <v>49</v>
      </c>
      <c r="F23" t="s">
        <v>50</v>
      </c>
      <c r="G23" t="s">
        <v>51</v>
      </c>
      <c r="H23" s="78" t="s">
        <v>52</v>
      </c>
      <c r="I23" s="107" t="s">
        <v>53</v>
      </c>
      <c r="J23" s="79" t="s">
        <v>54</v>
      </c>
      <c r="K23" s="80">
        <v>10</v>
      </c>
      <c r="L23" s="81">
        <v>16.94</v>
      </c>
      <c r="M23" s="82">
        <f t="shared" si="0"/>
        <v>169.4</v>
      </c>
      <c r="N23" s="50"/>
    </row>
    <row r="24" ht="14.25" customHeight="1" spans="1:14">
      <c r="A24" t="s">
        <v>45</v>
      </c>
      <c r="B24" t="s">
        <v>57</v>
      </c>
      <c r="C24" t="s">
        <v>58</v>
      </c>
      <c r="D24" t="s">
        <v>48</v>
      </c>
      <c r="E24" t="s">
        <v>49</v>
      </c>
      <c r="F24" t="s">
        <v>50</v>
      </c>
      <c r="G24" t="s">
        <v>51</v>
      </c>
      <c r="H24" s="78" t="s">
        <v>52</v>
      </c>
      <c r="I24" s="107" t="s">
        <v>53</v>
      </c>
      <c r="J24" s="79" t="s">
        <v>54</v>
      </c>
      <c r="K24" s="80">
        <v>5</v>
      </c>
      <c r="L24" s="81">
        <v>16.94</v>
      </c>
      <c r="M24" s="82">
        <f t="shared" si="0"/>
        <v>84.7</v>
      </c>
      <c r="N24" s="50"/>
    </row>
    <row r="25" ht="14.25" customHeight="1" spans="1:14">
      <c r="A25" t="s">
        <v>45</v>
      </c>
      <c r="B25" t="s">
        <v>59</v>
      </c>
      <c r="C25" t="s">
        <v>60</v>
      </c>
      <c r="D25" t="s">
        <v>48</v>
      </c>
      <c r="E25" t="s">
        <v>49</v>
      </c>
      <c r="F25" t="s">
        <v>50</v>
      </c>
      <c r="G25" t="s">
        <v>51</v>
      </c>
      <c r="H25" s="78" t="s">
        <v>52</v>
      </c>
      <c r="I25" s="107" t="s">
        <v>53</v>
      </c>
      <c r="J25" s="79" t="s">
        <v>54</v>
      </c>
      <c r="K25" s="80">
        <v>10</v>
      </c>
      <c r="L25" s="81">
        <v>16.94</v>
      </c>
      <c r="M25" s="82">
        <f t="shared" si="0"/>
        <v>169.4</v>
      </c>
      <c r="N25" s="50"/>
    </row>
    <row r="26" ht="14.25" customHeight="1" spans="1:14">
      <c r="A26" t="s">
        <v>45</v>
      </c>
      <c r="B26" t="s">
        <v>61</v>
      </c>
      <c r="C26" t="s">
        <v>62</v>
      </c>
      <c r="D26" t="s">
        <v>48</v>
      </c>
      <c r="E26" t="s">
        <v>49</v>
      </c>
      <c r="F26" t="s">
        <v>50</v>
      </c>
      <c r="G26" t="s">
        <v>51</v>
      </c>
      <c r="H26" s="78" t="s">
        <v>52</v>
      </c>
      <c r="I26" s="107" t="s">
        <v>53</v>
      </c>
      <c r="J26" s="79" t="s">
        <v>54</v>
      </c>
      <c r="K26" s="80">
        <v>5</v>
      </c>
      <c r="L26" s="81">
        <v>16.94</v>
      </c>
      <c r="M26" s="82">
        <f t="shared" si="0"/>
        <v>84.7</v>
      </c>
      <c r="N26" s="50"/>
    </row>
    <row r="27" ht="14.25" customHeight="1" spans="1:14">
      <c r="A27" t="s">
        <v>45</v>
      </c>
      <c r="B27" t="s">
        <v>63</v>
      </c>
      <c r="C27" t="s">
        <v>64</v>
      </c>
      <c r="D27" t="s">
        <v>48</v>
      </c>
      <c r="E27" t="s">
        <v>49</v>
      </c>
      <c r="F27" t="s">
        <v>65</v>
      </c>
      <c r="G27" t="s">
        <v>51</v>
      </c>
      <c r="H27" s="78" t="s">
        <v>52</v>
      </c>
      <c r="I27" s="107" t="s">
        <v>53</v>
      </c>
      <c r="J27" s="79" t="s">
        <v>54</v>
      </c>
      <c r="K27" s="80">
        <v>2</v>
      </c>
      <c r="L27" s="81">
        <v>16.45</v>
      </c>
      <c r="M27" s="82">
        <f t="shared" si="0"/>
        <v>32.9</v>
      </c>
      <c r="N27" s="50"/>
    </row>
    <row r="28" ht="14.25" customHeight="1" spans="1:14">
      <c r="A28" t="s">
        <v>45</v>
      </c>
      <c r="B28" t="s">
        <v>66</v>
      </c>
      <c r="C28" t="s">
        <v>67</v>
      </c>
      <c r="D28" t="s">
        <v>48</v>
      </c>
      <c r="E28" t="s">
        <v>49</v>
      </c>
      <c r="F28" t="s">
        <v>65</v>
      </c>
      <c r="G28" t="s">
        <v>51</v>
      </c>
      <c r="H28" s="78" t="s">
        <v>52</v>
      </c>
      <c r="I28" s="107" t="s">
        <v>53</v>
      </c>
      <c r="J28" s="79" t="s">
        <v>54</v>
      </c>
      <c r="K28" s="80">
        <v>1</v>
      </c>
      <c r="L28" s="81">
        <v>16.45</v>
      </c>
      <c r="M28" s="82">
        <f t="shared" si="0"/>
        <v>16.45</v>
      </c>
      <c r="N28" s="50"/>
    </row>
    <row r="29" ht="14.25" customHeight="1" spans="1:14">
      <c r="A29" t="s">
        <v>45</v>
      </c>
      <c r="B29" t="s">
        <v>68</v>
      </c>
      <c r="C29" t="s">
        <v>69</v>
      </c>
      <c r="D29" t="s">
        <v>48</v>
      </c>
      <c r="E29" t="s">
        <v>49</v>
      </c>
      <c r="F29" t="s">
        <v>65</v>
      </c>
      <c r="G29" t="s">
        <v>51</v>
      </c>
      <c r="H29" s="78" t="s">
        <v>52</v>
      </c>
      <c r="I29" s="107" t="s">
        <v>53</v>
      </c>
      <c r="J29" s="79" t="s">
        <v>54</v>
      </c>
      <c r="K29" s="80">
        <v>1</v>
      </c>
      <c r="L29" s="81">
        <v>16.45</v>
      </c>
      <c r="M29" s="82">
        <f t="shared" si="0"/>
        <v>16.45</v>
      </c>
      <c r="N29" s="50"/>
    </row>
    <row r="30" ht="14.25" customHeight="1" spans="1:14">
      <c r="A30" t="s">
        <v>45</v>
      </c>
      <c r="B30" t="s">
        <v>70</v>
      </c>
      <c r="C30" t="s">
        <v>71</v>
      </c>
      <c r="D30" t="s">
        <v>48</v>
      </c>
      <c r="E30" t="s">
        <v>49</v>
      </c>
      <c r="F30" t="s">
        <v>65</v>
      </c>
      <c r="G30" t="s">
        <v>51</v>
      </c>
      <c r="H30" s="78" t="s">
        <v>52</v>
      </c>
      <c r="I30" s="107" t="s">
        <v>53</v>
      </c>
      <c r="J30" s="79" t="s">
        <v>54</v>
      </c>
      <c r="K30" s="80">
        <v>1</v>
      </c>
      <c r="L30" s="81">
        <v>16.45</v>
      </c>
      <c r="M30" s="82">
        <f t="shared" si="0"/>
        <v>16.45</v>
      </c>
      <c r="N30" s="50"/>
    </row>
    <row r="31" ht="14.25" customHeight="1" spans="1:14">
      <c r="A31" t="s">
        <v>45</v>
      </c>
      <c r="B31" t="s">
        <v>72</v>
      </c>
      <c r="C31" t="s">
        <v>73</v>
      </c>
      <c r="D31" t="s">
        <v>48</v>
      </c>
      <c r="E31" t="s">
        <v>49</v>
      </c>
      <c r="F31" t="s">
        <v>74</v>
      </c>
      <c r="G31" t="s">
        <v>51</v>
      </c>
      <c r="H31" s="78" t="s">
        <v>52</v>
      </c>
      <c r="I31" s="107" t="s">
        <v>53</v>
      </c>
      <c r="J31" s="79" t="s">
        <v>54</v>
      </c>
      <c r="K31" s="80">
        <v>2</v>
      </c>
      <c r="L31" s="81">
        <v>16.45</v>
      </c>
      <c r="M31" s="82">
        <f t="shared" si="0"/>
        <v>32.9</v>
      </c>
      <c r="N31" s="50"/>
    </row>
    <row r="32" ht="14.25" customHeight="1" spans="1:14">
      <c r="A32" t="s">
        <v>45</v>
      </c>
      <c r="B32" t="s">
        <v>75</v>
      </c>
      <c r="C32" t="s">
        <v>76</v>
      </c>
      <c r="D32" t="s">
        <v>48</v>
      </c>
      <c r="E32" t="s">
        <v>49</v>
      </c>
      <c r="F32" t="s">
        <v>74</v>
      </c>
      <c r="G32" t="s">
        <v>51</v>
      </c>
      <c r="H32" s="78" t="s">
        <v>52</v>
      </c>
      <c r="I32" s="107" t="s">
        <v>53</v>
      </c>
      <c r="J32" s="79" t="s">
        <v>54</v>
      </c>
      <c r="K32" s="80">
        <v>2</v>
      </c>
      <c r="L32" s="81">
        <v>16.45</v>
      </c>
      <c r="M32" s="82">
        <f t="shared" si="0"/>
        <v>32.9</v>
      </c>
      <c r="N32" s="50"/>
    </row>
    <row r="33" ht="14.25" customHeight="1" spans="1:14">
      <c r="A33" t="s">
        <v>45</v>
      </c>
      <c r="B33" t="s">
        <v>77</v>
      </c>
      <c r="C33" t="s">
        <v>78</v>
      </c>
      <c r="D33" t="s">
        <v>48</v>
      </c>
      <c r="E33" t="s">
        <v>49</v>
      </c>
      <c r="F33" t="s">
        <v>74</v>
      </c>
      <c r="G33" t="s">
        <v>51</v>
      </c>
      <c r="H33" s="78" t="s">
        <v>52</v>
      </c>
      <c r="I33" s="107" t="s">
        <v>53</v>
      </c>
      <c r="J33" s="79" t="s">
        <v>54</v>
      </c>
      <c r="K33" s="80">
        <v>2</v>
      </c>
      <c r="L33" s="81">
        <v>16.45</v>
      </c>
      <c r="M33" s="82">
        <f t="shared" si="0"/>
        <v>32.9</v>
      </c>
      <c r="N33" s="50"/>
    </row>
    <row r="34" ht="14.25" customHeight="1" spans="1:14">
      <c r="A34" t="s">
        <v>45</v>
      </c>
      <c r="B34" t="s">
        <v>79</v>
      </c>
      <c r="C34" t="s">
        <v>80</v>
      </c>
      <c r="D34" t="s">
        <v>48</v>
      </c>
      <c r="E34" t="s">
        <v>49</v>
      </c>
      <c r="F34" t="s">
        <v>74</v>
      </c>
      <c r="G34" t="s">
        <v>51</v>
      </c>
      <c r="H34" s="78" t="s">
        <v>52</v>
      </c>
      <c r="I34" s="107" t="s">
        <v>53</v>
      </c>
      <c r="J34" s="79" t="s">
        <v>54</v>
      </c>
      <c r="K34" s="80">
        <v>2</v>
      </c>
      <c r="L34" s="81">
        <v>16.45</v>
      </c>
      <c r="M34" s="82">
        <f t="shared" si="0"/>
        <v>32.9</v>
      </c>
      <c r="N34" s="50"/>
    </row>
    <row r="35" ht="14.25" customHeight="1" spans="1:14">
      <c r="A35" t="s">
        <v>45</v>
      </c>
      <c r="B35" t="s">
        <v>81</v>
      </c>
      <c r="C35" t="s">
        <v>82</v>
      </c>
      <c r="D35" t="s">
        <v>48</v>
      </c>
      <c r="E35" t="s">
        <v>49</v>
      </c>
      <c r="F35" t="s">
        <v>74</v>
      </c>
      <c r="G35" t="s">
        <v>51</v>
      </c>
      <c r="H35" s="78" t="s">
        <v>52</v>
      </c>
      <c r="I35" s="107" t="s">
        <v>53</v>
      </c>
      <c r="J35" s="79" t="s">
        <v>54</v>
      </c>
      <c r="K35" s="80">
        <v>1</v>
      </c>
      <c r="L35" s="81">
        <v>16.45</v>
      </c>
      <c r="M35" s="82">
        <f t="shared" si="0"/>
        <v>16.45</v>
      </c>
      <c r="N35" s="50"/>
    </row>
    <row r="36" ht="14.25" customHeight="1" spans="1:14">
      <c r="A36" t="s">
        <v>45</v>
      </c>
      <c r="B36" t="s">
        <v>83</v>
      </c>
      <c r="C36" t="s">
        <v>84</v>
      </c>
      <c r="D36" t="s">
        <v>48</v>
      </c>
      <c r="E36" t="s">
        <v>49</v>
      </c>
      <c r="F36" t="s">
        <v>85</v>
      </c>
      <c r="G36" t="s">
        <v>51</v>
      </c>
      <c r="H36" s="78" t="s">
        <v>52</v>
      </c>
      <c r="I36" s="107" t="s">
        <v>53</v>
      </c>
      <c r="J36" s="79" t="s">
        <v>54</v>
      </c>
      <c r="K36" s="80">
        <v>1</v>
      </c>
      <c r="L36" s="81">
        <v>16.94</v>
      </c>
      <c r="M36" s="82">
        <f t="shared" si="0"/>
        <v>16.94</v>
      </c>
      <c r="N36" s="50"/>
    </row>
    <row r="37" ht="14.25" customHeight="1" spans="1:14">
      <c r="A37" t="s">
        <v>45</v>
      </c>
      <c r="B37" t="s">
        <v>86</v>
      </c>
      <c r="C37" t="s">
        <v>87</v>
      </c>
      <c r="D37" t="s">
        <v>48</v>
      </c>
      <c r="E37" t="s">
        <v>49</v>
      </c>
      <c r="F37" t="s">
        <v>85</v>
      </c>
      <c r="G37" t="s">
        <v>51</v>
      </c>
      <c r="H37" s="78" t="s">
        <v>52</v>
      </c>
      <c r="I37" s="107" t="s">
        <v>53</v>
      </c>
      <c r="J37" s="79" t="s">
        <v>54</v>
      </c>
      <c r="K37" s="80">
        <v>1</v>
      </c>
      <c r="L37" s="81">
        <v>16.94</v>
      </c>
      <c r="M37" s="82">
        <f t="shared" si="0"/>
        <v>16.94</v>
      </c>
      <c r="N37" s="50"/>
    </row>
    <row r="38" ht="14.25" customHeight="1" spans="1:14">
      <c r="A38" t="s">
        <v>45</v>
      </c>
      <c r="B38" t="s">
        <v>88</v>
      </c>
      <c r="C38" t="s">
        <v>89</v>
      </c>
      <c r="D38" t="s">
        <v>48</v>
      </c>
      <c r="E38" t="s">
        <v>49</v>
      </c>
      <c r="F38" t="s">
        <v>85</v>
      </c>
      <c r="G38" t="s">
        <v>51</v>
      </c>
      <c r="H38" s="78" t="s">
        <v>52</v>
      </c>
      <c r="I38" s="107" t="s">
        <v>53</v>
      </c>
      <c r="J38" s="79" t="s">
        <v>54</v>
      </c>
      <c r="K38" s="80">
        <v>1</v>
      </c>
      <c r="L38" s="81">
        <v>16.94</v>
      </c>
      <c r="M38" s="82">
        <f t="shared" si="0"/>
        <v>16.94</v>
      </c>
      <c r="N38" s="50"/>
    </row>
    <row r="39" ht="14.25" customHeight="1" spans="1:14">
      <c r="A39" t="s">
        <v>45</v>
      </c>
      <c r="B39" t="s">
        <v>90</v>
      </c>
      <c r="C39" t="s">
        <v>91</v>
      </c>
      <c r="D39" t="s">
        <v>48</v>
      </c>
      <c r="E39" t="s">
        <v>92</v>
      </c>
      <c r="F39" t="s">
        <v>93</v>
      </c>
      <c r="G39" t="s">
        <v>51</v>
      </c>
      <c r="H39" s="78" t="s">
        <v>52</v>
      </c>
      <c r="I39" s="107" t="s">
        <v>53</v>
      </c>
      <c r="J39" s="79" t="s">
        <v>54</v>
      </c>
      <c r="K39" s="80">
        <v>3</v>
      </c>
      <c r="L39" s="81">
        <v>18.17</v>
      </c>
      <c r="M39" s="82">
        <f t="shared" si="0"/>
        <v>54.51</v>
      </c>
      <c r="N39" s="50"/>
    </row>
    <row r="40" ht="14.25" customHeight="1" spans="1:14">
      <c r="A40" t="s">
        <v>45</v>
      </c>
      <c r="B40" t="s">
        <v>94</v>
      </c>
      <c r="C40" t="s">
        <v>95</v>
      </c>
      <c r="D40" t="s">
        <v>48</v>
      </c>
      <c r="E40" t="s">
        <v>92</v>
      </c>
      <c r="F40" t="s">
        <v>93</v>
      </c>
      <c r="G40" t="s">
        <v>51</v>
      </c>
      <c r="H40" s="78" t="s">
        <v>52</v>
      </c>
      <c r="I40" s="107" t="s">
        <v>53</v>
      </c>
      <c r="J40" s="79" t="s">
        <v>54</v>
      </c>
      <c r="K40" s="80">
        <v>2</v>
      </c>
      <c r="L40" s="81">
        <v>18.17</v>
      </c>
      <c r="M40" s="82">
        <f t="shared" si="0"/>
        <v>36.34</v>
      </c>
      <c r="N40" s="50"/>
    </row>
    <row r="41" ht="14.25" customHeight="1" spans="1:14">
      <c r="A41" t="s">
        <v>45</v>
      </c>
      <c r="B41" t="s">
        <v>96</v>
      </c>
      <c r="C41" t="s">
        <v>97</v>
      </c>
      <c r="D41" t="s">
        <v>48</v>
      </c>
      <c r="E41" t="s">
        <v>92</v>
      </c>
      <c r="F41" t="s">
        <v>93</v>
      </c>
      <c r="G41" t="s">
        <v>51</v>
      </c>
      <c r="H41" s="78" t="s">
        <v>52</v>
      </c>
      <c r="I41" s="107" t="s">
        <v>53</v>
      </c>
      <c r="J41" s="79" t="s">
        <v>54</v>
      </c>
      <c r="K41" s="80">
        <v>2</v>
      </c>
      <c r="L41" s="81">
        <v>18.17</v>
      </c>
      <c r="M41" s="82">
        <f t="shared" si="0"/>
        <v>36.34</v>
      </c>
      <c r="N41" s="50"/>
    </row>
    <row r="42" ht="14.25" customHeight="1" spans="1:14">
      <c r="A42" t="s">
        <v>45</v>
      </c>
      <c r="B42" t="s">
        <v>98</v>
      </c>
      <c r="C42" t="s">
        <v>99</v>
      </c>
      <c r="D42" t="s">
        <v>48</v>
      </c>
      <c r="E42" t="s">
        <v>92</v>
      </c>
      <c r="F42" t="s">
        <v>100</v>
      </c>
      <c r="G42" t="s">
        <v>51</v>
      </c>
      <c r="H42" s="78" t="s">
        <v>52</v>
      </c>
      <c r="I42" s="107" t="s">
        <v>53</v>
      </c>
      <c r="J42" s="79" t="s">
        <v>54</v>
      </c>
      <c r="K42" s="80">
        <v>55</v>
      </c>
      <c r="L42" s="81">
        <v>17.3</v>
      </c>
      <c r="M42" s="82">
        <f t="shared" si="0"/>
        <v>951.5</v>
      </c>
      <c r="N42" s="50"/>
    </row>
    <row r="43" ht="14.25" customHeight="1" spans="1:14">
      <c r="A43" t="s">
        <v>45</v>
      </c>
      <c r="B43" t="s">
        <v>101</v>
      </c>
      <c r="C43" t="s">
        <v>102</v>
      </c>
      <c r="D43" t="s">
        <v>48</v>
      </c>
      <c r="E43" t="s">
        <v>92</v>
      </c>
      <c r="F43" t="s">
        <v>100</v>
      </c>
      <c r="G43" t="s">
        <v>51</v>
      </c>
      <c r="H43" s="78" t="s">
        <v>52</v>
      </c>
      <c r="I43" s="107" t="s">
        <v>53</v>
      </c>
      <c r="J43" s="79" t="s">
        <v>54</v>
      </c>
      <c r="K43" s="80">
        <v>47</v>
      </c>
      <c r="L43" s="81">
        <v>17.3</v>
      </c>
      <c r="M43" s="82">
        <f t="shared" si="0"/>
        <v>813.1</v>
      </c>
      <c r="N43" s="50"/>
    </row>
    <row r="44" ht="14.25" customHeight="1" spans="1:14">
      <c r="A44" t="s">
        <v>45</v>
      </c>
      <c r="B44" t="s">
        <v>103</v>
      </c>
      <c r="C44" t="s">
        <v>104</v>
      </c>
      <c r="D44" t="s">
        <v>48</v>
      </c>
      <c r="E44" t="s">
        <v>92</v>
      </c>
      <c r="F44" t="s">
        <v>100</v>
      </c>
      <c r="G44" t="s">
        <v>51</v>
      </c>
      <c r="H44" s="78" t="s">
        <v>52</v>
      </c>
      <c r="I44" s="107" t="s">
        <v>53</v>
      </c>
      <c r="J44" s="79" t="s">
        <v>54</v>
      </c>
      <c r="K44" s="80">
        <v>13</v>
      </c>
      <c r="L44" s="81">
        <v>17.3</v>
      </c>
      <c r="M44" s="82">
        <f t="shared" si="0"/>
        <v>224.9</v>
      </c>
      <c r="N44" s="50"/>
    </row>
    <row r="45" ht="14.25" customHeight="1" spans="1:14">
      <c r="A45" t="s">
        <v>45</v>
      </c>
      <c r="B45" t="s">
        <v>105</v>
      </c>
      <c r="C45" t="s">
        <v>106</v>
      </c>
      <c r="D45" t="s">
        <v>48</v>
      </c>
      <c r="E45" t="s">
        <v>92</v>
      </c>
      <c r="F45" t="s">
        <v>100</v>
      </c>
      <c r="G45" t="s">
        <v>51</v>
      </c>
      <c r="H45" s="78" t="s">
        <v>52</v>
      </c>
      <c r="I45" s="107" t="s">
        <v>53</v>
      </c>
      <c r="J45" s="79" t="s">
        <v>54</v>
      </c>
      <c r="K45" s="80">
        <v>37</v>
      </c>
      <c r="L45" s="81">
        <v>17.3</v>
      </c>
      <c r="M45" s="82">
        <f t="shared" si="0"/>
        <v>640.1</v>
      </c>
      <c r="N45" s="50"/>
    </row>
    <row r="46" ht="14.25" customHeight="1" spans="1:14">
      <c r="A46" t="s">
        <v>45</v>
      </c>
      <c r="B46" t="s">
        <v>107</v>
      </c>
      <c r="C46" t="s">
        <v>108</v>
      </c>
      <c r="D46" t="s">
        <v>48</v>
      </c>
      <c r="E46" t="s">
        <v>92</v>
      </c>
      <c r="F46" t="s">
        <v>100</v>
      </c>
      <c r="G46" t="s">
        <v>51</v>
      </c>
      <c r="H46" s="78" t="s">
        <v>52</v>
      </c>
      <c r="I46" s="107" t="s">
        <v>53</v>
      </c>
      <c r="J46" s="79" t="s">
        <v>54</v>
      </c>
      <c r="K46" s="80">
        <v>14</v>
      </c>
      <c r="L46" s="81">
        <v>17.3</v>
      </c>
      <c r="M46" s="82">
        <f t="shared" si="0"/>
        <v>242.2</v>
      </c>
      <c r="N46" s="50"/>
    </row>
    <row r="47" ht="14.25" customHeight="1" spans="1:14">
      <c r="A47" t="s">
        <v>45</v>
      </c>
      <c r="B47" t="s">
        <v>109</v>
      </c>
      <c r="C47" t="s">
        <v>110</v>
      </c>
      <c r="D47" t="s">
        <v>48</v>
      </c>
      <c r="E47" t="s">
        <v>111</v>
      </c>
      <c r="F47" t="s">
        <v>112</v>
      </c>
      <c r="G47" t="s">
        <v>51</v>
      </c>
      <c r="H47" s="78" t="s">
        <v>52</v>
      </c>
      <c r="I47" s="78" t="s">
        <v>113</v>
      </c>
      <c r="J47" s="79" t="s">
        <v>114</v>
      </c>
      <c r="K47" s="80">
        <v>3</v>
      </c>
      <c r="L47" s="81">
        <v>16.5</v>
      </c>
      <c r="M47" s="82">
        <f t="shared" si="0"/>
        <v>49.5</v>
      </c>
      <c r="N47" s="50"/>
    </row>
    <row r="48" ht="14.25" customHeight="1" spans="1:14">
      <c r="A48" t="s">
        <v>45</v>
      </c>
      <c r="B48" t="s">
        <v>115</v>
      </c>
      <c r="C48" t="s">
        <v>116</v>
      </c>
      <c r="D48" t="s">
        <v>48</v>
      </c>
      <c r="E48" t="s">
        <v>111</v>
      </c>
      <c r="F48" t="s">
        <v>112</v>
      </c>
      <c r="G48" t="s">
        <v>51</v>
      </c>
      <c r="H48" s="78" t="s">
        <v>52</v>
      </c>
      <c r="I48" s="78" t="s">
        <v>113</v>
      </c>
      <c r="J48" s="79" t="s">
        <v>114</v>
      </c>
      <c r="K48" s="80">
        <v>3</v>
      </c>
      <c r="L48" s="81">
        <v>16.5</v>
      </c>
      <c r="M48" s="82">
        <f t="shared" si="0"/>
        <v>49.5</v>
      </c>
      <c r="N48" s="50"/>
    </row>
    <row r="49" ht="14.25" customHeight="1" spans="1:14">
      <c r="A49" t="s">
        <v>45</v>
      </c>
      <c r="B49" t="s">
        <v>117</v>
      </c>
      <c r="C49" t="s">
        <v>118</v>
      </c>
      <c r="D49" t="s">
        <v>48</v>
      </c>
      <c r="E49" t="s">
        <v>111</v>
      </c>
      <c r="F49" t="s">
        <v>112</v>
      </c>
      <c r="G49" t="s">
        <v>51</v>
      </c>
      <c r="H49" s="78" t="s">
        <v>52</v>
      </c>
      <c r="I49" s="78" t="s">
        <v>113</v>
      </c>
      <c r="J49" s="79" t="s">
        <v>114</v>
      </c>
      <c r="K49" s="80">
        <v>2</v>
      </c>
      <c r="L49" s="81">
        <v>16.5</v>
      </c>
      <c r="M49" s="82">
        <f t="shared" si="0"/>
        <v>33</v>
      </c>
      <c r="N49" s="50"/>
    </row>
    <row r="50" ht="14.25" customHeight="1" spans="1:14">
      <c r="A50" t="s">
        <v>45</v>
      </c>
      <c r="B50" t="s">
        <v>119</v>
      </c>
      <c r="C50" t="s">
        <v>120</v>
      </c>
      <c r="D50" t="s">
        <v>48</v>
      </c>
      <c r="E50" t="s">
        <v>121</v>
      </c>
      <c r="F50" t="s">
        <v>122</v>
      </c>
      <c r="G50" t="s">
        <v>123</v>
      </c>
      <c r="H50" s="78" t="s">
        <v>52</v>
      </c>
      <c r="I50" s="107" t="s">
        <v>53</v>
      </c>
      <c r="J50" s="79" t="s">
        <v>54</v>
      </c>
      <c r="K50" s="80">
        <v>2</v>
      </c>
      <c r="L50" s="81">
        <v>14.2</v>
      </c>
      <c r="M50" s="82">
        <f t="shared" si="0"/>
        <v>28.4</v>
      </c>
      <c r="N50" s="50"/>
    </row>
    <row r="51" ht="14.25" customHeight="1" spans="1:14">
      <c r="A51" t="s">
        <v>45</v>
      </c>
      <c r="B51" t="s">
        <v>124</v>
      </c>
      <c r="C51" t="s">
        <v>125</v>
      </c>
      <c r="D51" t="s">
        <v>48</v>
      </c>
      <c r="E51" t="s">
        <v>121</v>
      </c>
      <c r="F51" t="s">
        <v>122</v>
      </c>
      <c r="G51" t="s">
        <v>123</v>
      </c>
      <c r="H51" s="78" t="s">
        <v>52</v>
      </c>
      <c r="I51" s="107" t="s">
        <v>53</v>
      </c>
      <c r="J51" s="79" t="s">
        <v>54</v>
      </c>
      <c r="K51" s="80">
        <v>2</v>
      </c>
      <c r="L51" s="81">
        <v>14.2</v>
      </c>
      <c r="M51" s="82">
        <f t="shared" si="0"/>
        <v>28.4</v>
      </c>
      <c r="N51" s="50"/>
    </row>
    <row r="52" ht="14.25" customHeight="1" spans="1:14">
      <c r="A52" t="s">
        <v>45</v>
      </c>
      <c r="B52" t="s">
        <v>126</v>
      </c>
      <c r="C52" t="s">
        <v>127</v>
      </c>
      <c r="D52" t="s">
        <v>48</v>
      </c>
      <c r="E52" t="s">
        <v>121</v>
      </c>
      <c r="F52" t="s">
        <v>122</v>
      </c>
      <c r="G52" t="s">
        <v>123</v>
      </c>
      <c r="H52" s="78" t="s">
        <v>52</v>
      </c>
      <c r="I52" s="107" t="s">
        <v>53</v>
      </c>
      <c r="J52" s="79" t="s">
        <v>54</v>
      </c>
      <c r="K52" s="80">
        <v>1</v>
      </c>
      <c r="L52" s="81">
        <v>14.2</v>
      </c>
      <c r="M52" s="82">
        <f t="shared" si="0"/>
        <v>14.2</v>
      </c>
      <c r="N52" s="50"/>
    </row>
    <row r="53" ht="14.25" customHeight="1" spans="1:14">
      <c r="A53" t="s">
        <v>45</v>
      </c>
      <c r="B53" t="s">
        <v>128</v>
      </c>
      <c r="C53" t="s">
        <v>129</v>
      </c>
      <c r="D53" t="s">
        <v>48</v>
      </c>
      <c r="E53" t="s">
        <v>121</v>
      </c>
      <c r="F53" t="s">
        <v>122</v>
      </c>
      <c r="G53" t="s">
        <v>123</v>
      </c>
      <c r="H53" s="78" t="s">
        <v>52</v>
      </c>
      <c r="I53" s="107" t="s">
        <v>53</v>
      </c>
      <c r="J53" s="79" t="s">
        <v>54</v>
      </c>
      <c r="K53" s="80">
        <v>1</v>
      </c>
      <c r="L53" s="81">
        <v>14.2</v>
      </c>
      <c r="M53" s="82">
        <f t="shared" si="0"/>
        <v>14.2</v>
      </c>
      <c r="N53" s="50"/>
    </row>
    <row r="54" ht="14.25" customHeight="1" spans="1:14">
      <c r="A54" t="s">
        <v>45</v>
      </c>
      <c r="B54" t="s">
        <v>130</v>
      </c>
      <c r="C54" t="s">
        <v>131</v>
      </c>
      <c r="D54" t="s">
        <v>48</v>
      </c>
      <c r="E54" t="s">
        <v>121</v>
      </c>
      <c r="F54" t="s">
        <v>132</v>
      </c>
      <c r="G54" t="s">
        <v>123</v>
      </c>
      <c r="H54" s="78" t="s">
        <v>52</v>
      </c>
      <c r="I54" s="107" t="s">
        <v>53</v>
      </c>
      <c r="J54" s="79" t="s">
        <v>54</v>
      </c>
      <c r="K54" s="80">
        <v>6</v>
      </c>
      <c r="L54" s="81">
        <v>14.2</v>
      </c>
      <c r="M54" s="82">
        <f t="shared" ref="M54:M90" si="1">K54*L54</f>
        <v>85.2</v>
      </c>
      <c r="N54" s="50"/>
    </row>
    <row r="55" ht="14.25" customHeight="1" spans="1:14">
      <c r="A55" t="s">
        <v>45</v>
      </c>
      <c r="B55" t="s">
        <v>133</v>
      </c>
      <c r="C55" t="s">
        <v>134</v>
      </c>
      <c r="D55" t="s">
        <v>48</v>
      </c>
      <c r="E55" t="s">
        <v>121</v>
      </c>
      <c r="F55" t="s">
        <v>132</v>
      </c>
      <c r="G55" t="s">
        <v>123</v>
      </c>
      <c r="H55" s="78" t="s">
        <v>52</v>
      </c>
      <c r="I55" s="107" t="s">
        <v>53</v>
      </c>
      <c r="J55" s="79" t="s">
        <v>54</v>
      </c>
      <c r="K55" s="80">
        <v>5</v>
      </c>
      <c r="L55" s="81">
        <v>14.2</v>
      </c>
      <c r="M55" s="82">
        <f t="shared" si="1"/>
        <v>71</v>
      </c>
      <c r="N55" s="50"/>
    </row>
    <row r="56" ht="14.25" customHeight="1" spans="1:14">
      <c r="A56" t="s">
        <v>45</v>
      </c>
      <c r="B56" t="s">
        <v>135</v>
      </c>
      <c r="C56" t="s">
        <v>136</v>
      </c>
      <c r="D56" t="s">
        <v>48</v>
      </c>
      <c r="E56" t="s">
        <v>121</v>
      </c>
      <c r="F56" t="s">
        <v>132</v>
      </c>
      <c r="G56" t="s">
        <v>123</v>
      </c>
      <c r="H56" s="78" t="s">
        <v>52</v>
      </c>
      <c r="I56" s="107" t="s">
        <v>53</v>
      </c>
      <c r="J56" s="79" t="s">
        <v>54</v>
      </c>
      <c r="K56" s="80">
        <v>2</v>
      </c>
      <c r="L56" s="81">
        <v>14.2</v>
      </c>
      <c r="M56" s="82">
        <f t="shared" si="1"/>
        <v>28.4</v>
      </c>
      <c r="N56" s="50"/>
    </row>
    <row r="57" ht="14.25" customHeight="1" spans="1:14">
      <c r="A57" t="s">
        <v>45</v>
      </c>
      <c r="B57" t="s">
        <v>137</v>
      </c>
      <c r="C57" t="s">
        <v>138</v>
      </c>
      <c r="D57" t="s">
        <v>48</v>
      </c>
      <c r="E57" t="s">
        <v>121</v>
      </c>
      <c r="F57" t="s">
        <v>132</v>
      </c>
      <c r="G57" t="s">
        <v>123</v>
      </c>
      <c r="H57" s="78" t="s">
        <v>52</v>
      </c>
      <c r="I57" s="107" t="s">
        <v>53</v>
      </c>
      <c r="J57" s="79" t="s">
        <v>54</v>
      </c>
      <c r="K57" s="80">
        <v>4</v>
      </c>
      <c r="L57" s="81">
        <v>14.2</v>
      </c>
      <c r="M57" s="82">
        <f t="shared" si="1"/>
        <v>56.8</v>
      </c>
      <c r="N57" s="50"/>
    </row>
    <row r="58" ht="14.25" customHeight="1" spans="1:14">
      <c r="A58" t="s">
        <v>45</v>
      </c>
      <c r="B58" t="s">
        <v>139</v>
      </c>
      <c r="C58" t="s">
        <v>140</v>
      </c>
      <c r="D58" t="s">
        <v>48</v>
      </c>
      <c r="E58" t="s">
        <v>121</v>
      </c>
      <c r="F58" t="s">
        <v>132</v>
      </c>
      <c r="G58" t="s">
        <v>123</v>
      </c>
      <c r="H58" s="78" t="s">
        <v>52</v>
      </c>
      <c r="I58" s="107" t="s">
        <v>53</v>
      </c>
      <c r="J58" s="79" t="s">
        <v>54</v>
      </c>
      <c r="K58" s="80">
        <v>1</v>
      </c>
      <c r="L58" s="81">
        <v>14.2</v>
      </c>
      <c r="M58" s="82">
        <f t="shared" si="1"/>
        <v>14.2</v>
      </c>
      <c r="N58" s="50"/>
    </row>
    <row r="59" ht="14.25" customHeight="1" spans="1:14">
      <c r="A59" t="s">
        <v>45</v>
      </c>
      <c r="B59" t="s">
        <v>141</v>
      </c>
      <c r="C59" t="s">
        <v>142</v>
      </c>
      <c r="D59" t="s">
        <v>48</v>
      </c>
      <c r="E59" t="s">
        <v>143</v>
      </c>
      <c r="F59" t="s">
        <v>144</v>
      </c>
      <c r="G59" t="s">
        <v>145</v>
      </c>
      <c r="H59" s="78" t="s">
        <v>52</v>
      </c>
      <c r="I59" s="78" t="s">
        <v>113</v>
      </c>
      <c r="J59" s="79" t="s">
        <v>114</v>
      </c>
      <c r="K59" s="80">
        <v>59</v>
      </c>
      <c r="L59" s="81">
        <v>27</v>
      </c>
      <c r="M59" s="82">
        <f t="shared" si="1"/>
        <v>1593</v>
      </c>
      <c r="N59" s="50"/>
    </row>
    <row r="60" ht="14.25" customHeight="1" spans="1:14">
      <c r="A60" t="s">
        <v>45</v>
      </c>
      <c r="B60" t="s">
        <v>146</v>
      </c>
      <c r="C60" t="s">
        <v>147</v>
      </c>
      <c r="D60" t="s">
        <v>48</v>
      </c>
      <c r="E60" t="s">
        <v>143</v>
      </c>
      <c r="F60" t="s">
        <v>144</v>
      </c>
      <c r="G60" t="s">
        <v>145</v>
      </c>
      <c r="H60" s="78" t="s">
        <v>52</v>
      </c>
      <c r="I60" s="78" t="s">
        <v>113</v>
      </c>
      <c r="J60" s="79" t="s">
        <v>114</v>
      </c>
      <c r="K60" s="80">
        <v>32</v>
      </c>
      <c r="L60" s="81">
        <v>27</v>
      </c>
      <c r="M60" s="82">
        <f t="shared" si="1"/>
        <v>864</v>
      </c>
      <c r="N60" s="50"/>
    </row>
    <row r="61" ht="14.25" customHeight="1" spans="1:14">
      <c r="A61" t="s">
        <v>45</v>
      </c>
      <c r="B61" t="s">
        <v>148</v>
      </c>
      <c r="C61" t="s">
        <v>149</v>
      </c>
      <c r="D61" t="s">
        <v>48</v>
      </c>
      <c r="E61" t="s">
        <v>143</v>
      </c>
      <c r="F61" t="s">
        <v>144</v>
      </c>
      <c r="G61" t="s">
        <v>145</v>
      </c>
      <c r="H61" s="78" t="s">
        <v>52</v>
      </c>
      <c r="I61" s="78" t="s">
        <v>113</v>
      </c>
      <c r="J61" s="79" t="s">
        <v>114</v>
      </c>
      <c r="K61" s="80">
        <v>10</v>
      </c>
      <c r="L61" s="81">
        <v>27</v>
      </c>
      <c r="M61" s="82">
        <f t="shared" si="1"/>
        <v>270</v>
      </c>
      <c r="N61" s="50"/>
    </row>
    <row r="62" ht="14.25" customHeight="1" spans="1:14">
      <c r="A62" t="s">
        <v>45</v>
      </c>
      <c r="B62" t="s">
        <v>150</v>
      </c>
      <c r="C62" t="s">
        <v>151</v>
      </c>
      <c r="D62" t="s">
        <v>48</v>
      </c>
      <c r="E62" t="s">
        <v>143</v>
      </c>
      <c r="F62" t="s">
        <v>144</v>
      </c>
      <c r="G62" t="s">
        <v>145</v>
      </c>
      <c r="H62" s="78" t="s">
        <v>52</v>
      </c>
      <c r="I62" s="78" t="s">
        <v>113</v>
      </c>
      <c r="J62" s="79" t="s">
        <v>114</v>
      </c>
      <c r="K62" s="80">
        <v>19</v>
      </c>
      <c r="L62" s="81">
        <v>27</v>
      </c>
      <c r="M62" s="82">
        <f t="shared" si="1"/>
        <v>513</v>
      </c>
      <c r="N62" s="50"/>
    </row>
    <row r="63" ht="14.25" customHeight="1" spans="1:14">
      <c r="A63" t="s">
        <v>45</v>
      </c>
      <c r="B63" t="s">
        <v>152</v>
      </c>
      <c r="C63" t="s">
        <v>153</v>
      </c>
      <c r="D63" t="s">
        <v>48</v>
      </c>
      <c r="E63" t="s">
        <v>143</v>
      </c>
      <c r="F63" t="s">
        <v>144</v>
      </c>
      <c r="G63" t="s">
        <v>145</v>
      </c>
      <c r="H63" s="78" t="s">
        <v>52</v>
      </c>
      <c r="I63" s="78" t="s">
        <v>113</v>
      </c>
      <c r="J63" s="79" t="s">
        <v>114</v>
      </c>
      <c r="K63" s="80">
        <v>5</v>
      </c>
      <c r="L63" s="81">
        <v>27</v>
      </c>
      <c r="M63" s="82">
        <f t="shared" si="1"/>
        <v>135</v>
      </c>
      <c r="N63" s="50"/>
    </row>
    <row r="64" ht="14.25" customHeight="1" spans="1:14">
      <c r="A64" t="s">
        <v>45</v>
      </c>
      <c r="B64" t="s">
        <v>154</v>
      </c>
      <c r="C64" t="s">
        <v>155</v>
      </c>
      <c r="D64" t="s">
        <v>48</v>
      </c>
      <c r="E64" t="s">
        <v>143</v>
      </c>
      <c r="F64" t="s">
        <v>156</v>
      </c>
      <c r="G64" t="s">
        <v>145</v>
      </c>
      <c r="H64" s="78" t="s">
        <v>52</v>
      </c>
      <c r="I64" s="78" t="s">
        <v>113</v>
      </c>
      <c r="J64" s="79" t="s">
        <v>114</v>
      </c>
      <c r="K64" s="80">
        <v>103</v>
      </c>
      <c r="L64" s="81">
        <v>27</v>
      </c>
      <c r="M64" s="82">
        <f t="shared" si="1"/>
        <v>2781</v>
      </c>
      <c r="N64" s="50"/>
    </row>
    <row r="65" ht="14.25" customHeight="1" spans="1:14">
      <c r="A65" t="s">
        <v>45</v>
      </c>
      <c r="B65" t="s">
        <v>157</v>
      </c>
      <c r="C65" t="s">
        <v>158</v>
      </c>
      <c r="D65" t="s">
        <v>48</v>
      </c>
      <c r="E65" t="s">
        <v>143</v>
      </c>
      <c r="F65" t="s">
        <v>156</v>
      </c>
      <c r="G65" t="s">
        <v>145</v>
      </c>
      <c r="H65" s="78" t="s">
        <v>52</v>
      </c>
      <c r="I65" s="78" t="s">
        <v>113</v>
      </c>
      <c r="J65" s="79" t="s">
        <v>114</v>
      </c>
      <c r="K65" s="80">
        <v>64</v>
      </c>
      <c r="L65" s="81">
        <v>27</v>
      </c>
      <c r="M65" s="82">
        <f t="shared" si="1"/>
        <v>1728</v>
      </c>
      <c r="N65" s="50"/>
    </row>
    <row r="66" ht="14.25" customHeight="1" spans="1:14">
      <c r="A66" t="s">
        <v>45</v>
      </c>
      <c r="B66" t="s">
        <v>159</v>
      </c>
      <c r="C66" t="s">
        <v>160</v>
      </c>
      <c r="D66" t="s">
        <v>48</v>
      </c>
      <c r="E66" t="s">
        <v>143</v>
      </c>
      <c r="F66" t="s">
        <v>156</v>
      </c>
      <c r="G66" t="s">
        <v>145</v>
      </c>
      <c r="H66" s="78" t="s">
        <v>52</v>
      </c>
      <c r="I66" s="78" t="s">
        <v>113</v>
      </c>
      <c r="J66" s="79" t="s">
        <v>114</v>
      </c>
      <c r="K66" s="80">
        <v>22</v>
      </c>
      <c r="L66" s="81">
        <v>27</v>
      </c>
      <c r="M66" s="82">
        <f t="shared" si="1"/>
        <v>594</v>
      </c>
      <c r="N66" s="50"/>
    </row>
    <row r="67" ht="14.25" customHeight="1" spans="1:14">
      <c r="A67" t="s">
        <v>45</v>
      </c>
      <c r="B67" t="s">
        <v>161</v>
      </c>
      <c r="C67" t="s">
        <v>162</v>
      </c>
      <c r="D67" t="s">
        <v>48</v>
      </c>
      <c r="E67" t="s">
        <v>143</v>
      </c>
      <c r="F67" t="s">
        <v>156</v>
      </c>
      <c r="G67" t="s">
        <v>145</v>
      </c>
      <c r="H67" s="78" t="s">
        <v>52</v>
      </c>
      <c r="I67" s="78" t="s">
        <v>113</v>
      </c>
      <c r="J67" s="79" t="s">
        <v>114</v>
      </c>
      <c r="K67" s="80">
        <v>44</v>
      </c>
      <c r="L67" s="81">
        <v>27</v>
      </c>
      <c r="M67" s="82">
        <f t="shared" si="1"/>
        <v>1188</v>
      </c>
      <c r="N67" s="50"/>
    </row>
    <row r="68" ht="14.25" customHeight="1" spans="1:14">
      <c r="A68" t="s">
        <v>45</v>
      </c>
      <c r="B68" t="s">
        <v>163</v>
      </c>
      <c r="C68" t="s">
        <v>164</v>
      </c>
      <c r="D68" t="s">
        <v>48</v>
      </c>
      <c r="E68" t="s">
        <v>143</v>
      </c>
      <c r="F68" t="s">
        <v>156</v>
      </c>
      <c r="G68" t="s">
        <v>145</v>
      </c>
      <c r="H68" s="78" t="s">
        <v>52</v>
      </c>
      <c r="I68" s="78" t="s">
        <v>113</v>
      </c>
      <c r="J68" s="79" t="s">
        <v>114</v>
      </c>
      <c r="K68" s="80">
        <v>13</v>
      </c>
      <c r="L68" s="81">
        <v>27</v>
      </c>
      <c r="M68" s="82">
        <f t="shared" si="1"/>
        <v>351</v>
      </c>
      <c r="N68" s="50"/>
    </row>
    <row r="69" ht="14.25" customHeight="1" spans="1:14">
      <c r="A69" t="s">
        <v>45</v>
      </c>
      <c r="B69" t="s">
        <v>165</v>
      </c>
      <c r="C69" t="s">
        <v>166</v>
      </c>
      <c r="D69" t="s">
        <v>48</v>
      </c>
      <c r="E69" t="s">
        <v>167</v>
      </c>
      <c r="F69" t="s">
        <v>168</v>
      </c>
      <c r="G69" t="s">
        <v>51</v>
      </c>
      <c r="H69" s="78" t="s">
        <v>52</v>
      </c>
      <c r="I69" s="107" t="s">
        <v>53</v>
      </c>
      <c r="J69" s="79" t="s">
        <v>54</v>
      </c>
      <c r="K69" s="80">
        <v>73</v>
      </c>
      <c r="L69" s="81">
        <v>12.1</v>
      </c>
      <c r="M69" s="82">
        <f t="shared" si="1"/>
        <v>883.3</v>
      </c>
      <c r="N69" s="50"/>
    </row>
    <row r="70" ht="14.25" customHeight="1" spans="1:14">
      <c r="A70" t="s">
        <v>45</v>
      </c>
      <c r="B70" t="s">
        <v>169</v>
      </c>
      <c r="C70" t="s">
        <v>170</v>
      </c>
      <c r="D70" t="s">
        <v>48</v>
      </c>
      <c r="E70" t="s">
        <v>167</v>
      </c>
      <c r="F70" t="s">
        <v>168</v>
      </c>
      <c r="G70" t="s">
        <v>51</v>
      </c>
      <c r="H70" s="78" t="s">
        <v>52</v>
      </c>
      <c r="I70" s="107" t="s">
        <v>53</v>
      </c>
      <c r="J70" s="79" t="s">
        <v>54</v>
      </c>
      <c r="K70" s="80">
        <v>52</v>
      </c>
      <c r="L70" s="81">
        <v>12.1</v>
      </c>
      <c r="M70" s="82">
        <f t="shared" si="1"/>
        <v>629.2</v>
      </c>
      <c r="N70" s="50"/>
    </row>
    <row r="71" ht="14.25" customHeight="1" spans="1:14">
      <c r="A71" t="s">
        <v>45</v>
      </c>
      <c r="B71" t="s">
        <v>171</v>
      </c>
      <c r="C71" t="s">
        <v>172</v>
      </c>
      <c r="D71" t="s">
        <v>48</v>
      </c>
      <c r="E71" t="s">
        <v>167</v>
      </c>
      <c r="F71" t="s">
        <v>168</v>
      </c>
      <c r="G71" t="s">
        <v>51</v>
      </c>
      <c r="H71" s="78" t="s">
        <v>52</v>
      </c>
      <c r="I71" s="107" t="s">
        <v>53</v>
      </c>
      <c r="J71" s="79" t="s">
        <v>54</v>
      </c>
      <c r="K71" s="80">
        <v>20</v>
      </c>
      <c r="L71" s="81">
        <v>12.1</v>
      </c>
      <c r="M71" s="82">
        <f t="shared" si="1"/>
        <v>242</v>
      </c>
      <c r="N71" s="50"/>
    </row>
    <row r="72" ht="14.25" customHeight="1" spans="1:14">
      <c r="A72" t="s">
        <v>45</v>
      </c>
      <c r="B72" t="s">
        <v>173</v>
      </c>
      <c r="C72" t="s">
        <v>174</v>
      </c>
      <c r="D72" t="s">
        <v>48</v>
      </c>
      <c r="E72" t="s">
        <v>167</v>
      </c>
      <c r="F72" t="s">
        <v>168</v>
      </c>
      <c r="G72" t="s">
        <v>51</v>
      </c>
      <c r="H72" s="78" t="s">
        <v>52</v>
      </c>
      <c r="I72" s="107" t="s">
        <v>53</v>
      </c>
      <c r="J72" s="79" t="s">
        <v>54</v>
      </c>
      <c r="K72" s="80">
        <v>102</v>
      </c>
      <c r="L72" s="81">
        <v>12.1</v>
      </c>
      <c r="M72" s="82">
        <f t="shared" si="1"/>
        <v>1234.2</v>
      </c>
      <c r="N72" s="50"/>
    </row>
    <row r="73" ht="14.25" customHeight="1" spans="1:14">
      <c r="A73" t="s">
        <v>45</v>
      </c>
      <c r="B73" t="s">
        <v>175</v>
      </c>
      <c r="C73" t="s">
        <v>176</v>
      </c>
      <c r="D73" t="s">
        <v>48</v>
      </c>
      <c r="E73" t="s">
        <v>167</v>
      </c>
      <c r="F73" t="s">
        <v>168</v>
      </c>
      <c r="G73" t="s">
        <v>51</v>
      </c>
      <c r="H73" s="78" t="s">
        <v>52</v>
      </c>
      <c r="I73" s="107" t="s">
        <v>53</v>
      </c>
      <c r="J73" s="79" t="s">
        <v>54</v>
      </c>
      <c r="K73" s="80">
        <v>35</v>
      </c>
      <c r="L73" s="81">
        <v>12.1</v>
      </c>
      <c r="M73" s="82">
        <f t="shared" si="1"/>
        <v>423.5</v>
      </c>
      <c r="N73" s="50"/>
    </row>
    <row r="74" ht="14.25" customHeight="1" spans="1:14">
      <c r="A74" t="s">
        <v>45</v>
      </c>
      <c r="B74" t="s">
        <v>177</v>
      </c>
      <c r="C74" t="s">
        <v>178</v>
      </c>
      <c r="D74" t="s">
        <v>48</v>
      </c>
      <c r="E74" t="s">
        <v>179</v>
      </c>
      <c r="F74" t="s">
        <v>180</v>
      </c>
      <c r="G74" t="s">
        <v>51</v>
      </c>
      <c r="H74" s="78" t="s">
        <v>181</v>
      </c>
      <c r="I74" s="107" t="s">
        <v>53</v>
      </c>
      <c r="J74" s="79" t="s">
        <v>54</v>
      </c>
      <c r="K74" s="80">
        <v>2</v>
      </c>
      <c r="L74" s="81">
        <v>15.95</v>
      </c>
      <c r="M74" s="82">
        <f t="shared" si="1"/>
        <v>31.9</v>
      </c>
      <c r="N74" s="50"/>
    </row>
    <row r="75" ht="14.25" customHeight="1" spans="1:14">
      <c r="A75" t="s">
        <v>45</v>
      </c>
      <c r="B75" t="s">
        <v>182</v>
      </c>
      <c r="C75" t="s">
        <v>183</v>
      </c>
      <c r="D75" t="s">
        <v>48</v>
      </c>
      <c r="E75" t="s">
        <v>179</v>
      </c>
      <c r="F75" t="s">
        <v>180</v>
      </c>
      <c r="G75" t="s">
        <v>51</v>
      </c>
      <c r="H75" s="78" t="s">
        <v>181</v>
      </c>
      <c r="I75" s="107" t="s">
        <v>53</v>
      </c>
      <c r="J75" s="79" t="s">
        <v>54</v>
      </c>
      <c r="K75" s="80">
        <v>2</v>
      </c>
      <c r="L75" s="81">
        <v>15.95</v>
      </c>
      <c r="M75" s="82">
        <f t="shared" si="1"/>
        <v>31.9</v>
      </c>
      <c r="N75" s="50"/>
    </row>
    <row r="76" ht="14.25" customHeight="1" spans="1:14">
      <c r="A76" t="s">
        <v>45</v>
      </c>
      <c r="B76" t="s">
        <v>184</v>
      </c>
      <c r="C76" t="s">
        <v>185</v>
      </c>
      <c r="D76" t="s">
        <v>48</v>
      </c>
      <c r="E76" t="s">
        <v>179</v>
      </c>
      <c r="F76" t="s">
        <v>180</v>
      </c>
      <c r="G76" t="s">
        <v>51</v>
      </c>
      <c r="H76" s="78" t="s">
        <v>181</v>
      </c>
      <c r="I76" s="107" t="s">
        <v>53</v>
      </c>
      <c r="J76" s="79" t="s">
        <v>54</v>
      </c>
      <c r="K76" s="80">
        <v>1</v>
      </c>
      <c r="L76" s="81">
        <v>15.95</v>
      </c>
      <c r="M76" s="82">
        <f t="shared" si="1"/>
        <v>15.95</v>
      </c>
      <c r="N76" s="50"/>
    </row>
    <row r="77" ht="14.25" customHeight="1" spans="1:14">
      <c r="A77" t="s">
        <v>45</v>
      </c>
      <c r="B77" t="s">
        <v>186</v>
      </c>
      <c r="C77" t="s">
        <v>187</v>
      </c>
      <c r="D77" t="s">
        <v>48</v>
      </c>
      <c r="E77" t="s">
        <v>179</v>
      </c>
      <c r="F77" t="s">
        <v>180</v>
      </c>
      <c r="G77" t="s">
        <v>51</v>
      </c>
      <c r="H77" s="78" t="s">
        <v>181</v>
      </c>
      <c r="I77" s="107" t="s">
        <v>53</v>
      </c>
      <c r="J77" s="79" t="s">
        <v>54</v>
      </c>
      <c r="K77" s="80">
        <v>1</v>
      </c>
      <c r="L77" s="81">
        <v>15.95</v>
      </c>
      <c r="M77" s="82">
        <f t="shared" si="1"/>
        <v>15.95</v>
      </c>
      <c r="N77" s="50"/>
    </row>
    <row r="78" ht="14.25" customHeight="1" spans="1:14">
      <c r="A78" t="s">
        <v>45</v>
      </c>
      <c r="B78" t="s">
        <v>188</v>
      </c>
      <c r="C78" t="s">
        <v>189</v>
      </c>
      <c r="D78" t="s">
        <v>48</v>
      </c>
      <c r="E78" t="s">
        <v>179</v>
      </c>
      <c r="F78" t="s">
        <v>190</v>
      </c>
      <c r="G78" t="s">
        <v>51</v>
      </c>
      <c r="H78" s="78" t="s">
        <v>181</v>
      </c>
      <c r="I78" s="107" t="s">
        <v>53</v>
      </c>
      <c r="J78" s="79" t="s">
        <v>54</v>
      </c>
      <c r="K78" s="80">
        <v>5</v>
      </c>
      <c r="L78" s="81">
        <v>15.95</v>
      </c>
      <c r="M78" s="82">
        <f t="shared" si="1"/>
        <v>79.75</v>
      </c>
      <c r="N78" s="50"/>
    </row>
    <row r="79" ht="14.25" customHeight="1" spans="1:14">
      <c r="A79" t="s">
        <v>45</v>
      </c>
      <c r="B79" t="s">
        <v>191</v>
      </c>
      <c r="C79" t="s">
        <v>192</v>
      </c>
      <c r="D79" t="s">
        <v>48</v>
      </c>
      <c r="E79" t="s">
        <v>179</v>
      </c>
      <c r="F79" t="s">
        <v>190</v>
      </c>
      <c r="G79" t="s">
        <v>51</v>
      </c>
      <c r="H79" s="78" t="s">
        <v>181</v>
      </c>
      <c r="I79" s="107" t="s">
        <v>53</v>
      </c>
      <c r="J79" s="79" t="s">
        <v>54</v>
      </c>
      <c r="K79" s="80">
        <v>5</v>
      </c>
      <c r="L79" s="81">
        <v>15.95</v>
      </c>
      <c r="M79" s="82">
        <f t="shared" si="1"/>
        <v>79.75</v>
      </c>
      <c r="N79" s="50"/>
    </row>
    <row r="80" ht="14.25" customHeight="1" spans="1:14">
      <c r="A80" t="s">
        <v>45</v>
      </c>
      <c r="B80" t="s">
        <v>193</v>
      </c>
      <c r="C80" t="s">
        <v>194</v>
      </c>
      <c r="D80" t="s">
        <v>48</v>
      </c>
      <c r="E80" t="s">
        <v>179</v>
      </c>
      <c r="F80" t="s">
        <v>190</v>
      </c>
      <c r="G80" t="s">
        <v>51</v>
      </c>
      <c r="H80" s="78" t="s">
        <v>181</v>
      </c>
      <c r="I80" s="107" t="s">
        <v>53</v>
      </c>
      <c r="J80" s="79" t="s">
        <v>54</v>
      </c>
      <c r="K80" s="80">
        <v>3</v>
      </c>
      <c r="L80" s="81">
        <v>15.95</v>
      </c>
      <c r="M80" s="82">
        <f t="shared" si="1"/>
        <v>47.85</v>
      </c>
      <c r="N80" s="50"/>
    </row>
    <row r="81" ht="14.25" customHeight="1" spans="1:14">
      <c r="A81" t="s">
        <v>45</v>
      </c>
      <c r="B81" t="s">
        <v>195</v>
      </c>
      <c r="C81" t="s">
        <v>196</v>
      </c>
      <c r="D81" t="s">
        <v>48</v>
      </c>
      <c r="E81" t="s">
        <v>179</v>
      </c>
      <c r="F81" t="s">
        <v>190</v>
      </c>
      <c r="G81" t="s">
        <v>51</v>
      </c>
      <c r="H81" s="78" t="s">
        <v>181</v>
      </c>
      <c r="I81" s="107" t="s">
        <v>53</v>
      </c>
      <c r="J81" s="79" t="s">
        <v>54</v>
      </c>
      <c r="K81" s="80">
        <v>2</v>
      </c>
      <c r="L81" s="81">
        <v>15.95</v>
      </c>
      <c r="M81" s="82">
        <f t="shared" si="1"/>
        <v>31.9</v>
      </c>
      <c r="N81" s="50"/>
    </row>
    <row r="82" ht="14.25" customHeight="1" spans="1:14">
      <c r="A82" t="s">
        <v>45</v>
      </c>
      <c r="B82" t="s">
        <v>197</v>
      </c>
      <c r="C82" t="s">
        <v>198</v>
      </c>
      <c r="D82" t="s">
        <v>48</v>
      </c>
      <c r="E82" t="s">
        <v>179</v>
      </c>
      <c r="F82" t="s">
        <v>190</v>
      </c>
      <c r="G82" t="s">
        <v>51</v>
      </c>
      <c r="H82" s="78" t="s">
        <v>181</v>
      </c>
      <c r="I82" s="107" t="s">
        <v>53</v>
      </c>
      <c r="J82" s="79" t="s">
        <v>54</v>
      </c>
      <c r="K82" s="80">
        <v>2</v>
      </c>
      <c r="L82" s="81">
        <v>15.95</v>
      </c>
      <c r="M82" s="82">
        <f t="shared" si="1"/>
        <v>31.9</v>
      </c>
      <c r="N82" s="50"/>
    </row>
    <row r="83" ht="14.25" customHeight="1" spans="1:14">
      <c r="A83" t="s">
        <v>45</v>
      </c>
      <c r="B83" t="s">
        <v>199</v>
      </c>
      <c r="C83" t="s">
        <v>200</v>
      </c>
      <c r="D83" t="s">
        <v>48</v>
      </c>
      <c r="E83" t="s">
        <v>179</v>
      </c>
      <c r="F83" t="s">
        <v>201</v>
      </c>
      <c r="G83" t="s">
        <v>51</v>
      </c>
      <c r="H83" s="78" t="s">
        <v>181</v>
      </c>
      <c r="I83" s="107" t="s">
        <v>53</v>
      </c>
      <c r="J83" s="79" t="s">
        <v>54</v>
      </c>
      <c r="K83" s="80">
        <v>3</v>
      </c>
      <c r="L83" s="81">
        <v>15.95</v>
      </c>
      <c r="M83" s="82">
        <f t="shared" si="1"/>
        <v>47.85</v>
      </c>
      <c r="N83" s="50"/>
    </row>
    <row r="84" ht="14.25" customHeight="1" spans="1:14">
      <c r="A84" t="s">
        <v>45</v>
      </c>
      <c r="B84" t="s">
        <v>202</v>
      </c>
      <c r="C84" t="s">
        <v>203</v>
      </c>
      <c r="D84" t="s">
        <v>48</v>
      </c>
      <c r="E84" t="s">
        <v>179</v>
      </c>
      <c r="F84" t="s">
        <v>201</v>
      </c>
      <c r="G84" t="s">
        <v>51</v>
      </c>
      <c r="H84" s="78" t="s">
        <v>181</v>
      </c>
      <c r="I84" s="107" t="s">
        <v>53</v>
      </c>
      <c r="J84" s="79" t="s">
        <v>54</v>
      </c>
      <c r="K84" s="80">
        <v>3</v>
      </c>
      <c r="L84" s="81">
        <v>15.95</v>
      </c>
      <c r="M84" s="82">
        <f t="shared" si="1"/>
        <v>47.85</v>
      </c>
      <c r="N84" s="50"/>
    </row>
    <row r="85" ht="14.25" customHeight="1" spans="1:14">
      <c r="A85" t="s">
        <v>45</v>
      </c>
      <c r="B85" t="s">
        <v>204</v>
      </c>
      <c r="C85" t="s">
        <v>205</v>
      </c>
      <c r="D85" t="s">
        <v>48</v>
      </c>
      <c r="E85" t="s">
        <v>179</v>
      </c>
      <c r="F85" t="s">
        <v>201</v>
      </c>
      <c r="G85" t="s">
        <v>51</v>
      </c>
      <c r="H85" s="78" t="s">
        <v>181</v>
      </c>
      <c r="I85" s="107" t="s">
        <v>53</v>
      </c>
      <c r="J85" s="79" t="s">
        <v>54</v>
      </c>
      <c r="K85" s="80">
        <v>3</v>
      </c>
      <c r="L85" s="81">
        <v>15.95</v>
      </c>
      <c r="M85" s="82">
        <f t="shared" si="1"/>
        <v>47.85</v>
      </c>
      <c r="N85" s="50"/>
    </row>
    <row r="86" ht="14.25" customHeight="1" spans="1:14">
      <c r="A86" t="s">
        <v>45</v>
      </c>
      <c r="B86" t="s">
        <v>206</v>
      </c>
      <c r="C86" t="s">
        <v>207</v>
      </c>
      <c r="D86" t="s">
        <v>48</v>
      </c>
      <c r="E86" t="s">
        <v>179</v>
      </c>
      <c r="F86" t="s">
        <v>201</v>
      </c>
      <c r="G86" t="s">
        <v>51</v>
      </c>
      <c r="H86" s="78" t="s">
        <v>181</v>
      </c>
      <c r="I86" s="107" t="s">
        <v>53</v>
      </c>
      <c r="J86" s="79" t="s">
        <v>54</v>
      </c>
      <c r="K86" s="80">
        <v>2</v>
      </c>
      <c r="L86" s="81">
        <v>15.95</v>
      </c>
      <c r="M86" s="82">
        <f t="shared" si="1"/>
        <v>31.9</v>
      </c>
      <c r="N86" s="50"/>
    </row>
    <row r="87" ht="14.25" customHeight="1" spans="1:14">
      <c r="A87" t="s">
        <v>45</v>
      </c>
      <c r="B87" t="s">
        <v>208</v>
      </c>
      <c r="C87" t="s">
        <v>209</v>
      </c>
      <c r="D87" t="s">
        <v>48</v>
      </c>
      <c r="E87" t="s">
        <v>179</v>
      </c>
      <c r="F87" t="s">
        <v>201</v>
      </c>
      <c r="G87" t="s">
        <v>51</v>
      </c>
      <c r="H87" s="78" t="s">
        <v>181</v>
      </c>
      <c r="I87" s="107" t="s">
        <v>53</v>
      </c>
      <c r="J87" s="79" t="s">
        <v>54</v>
      </c>
      <c r="K87" s="80">
        <v>2</v>
      </c>
      <c r="L87" s="81">
        <v>15.95</v>
      </c>
      <c r="M87" s="82">
        <f t="shared" si="1"/>
        <v>31.9</v>
      </c>
      <c r="N87" s="50"/>
    </row>
    <row r="88" ht="14.25" customHeight="1" spans="1:14">
      <c r="A88" t="s">
        <v>45</v>
      </c>
      <c r="B88" t="s">
        <v>210</v>
      </c>
      <c r="C88" t="s">
        <v>211</v>
      </c>
      <c r="D88" t="s">
        <v>48</v>
      </c>
      <c r="E88" t="s">
        <v>212</v>
      </c>
      <c r="F88" t="s">
        <v>122</v>
      </c>
      <c r="G88" t="s">
        <v>51</v>
      </c>
      <c r="H88" s="78" t="s">
        <v>181</v>
      </c>
      <c r="I88" s="107" t="s">
        <v>53</v>
      </c>
      <c r="J88" s="79" t="s">
        <v>54</v>
      </c>
      <c r="K88" s="80">
        <v>1</v>
      </c>
      <c r="L88" s="81">
        <v>12</v>
      </c>
      <c r="M88" s="82">
        <f t="shared" si="1"/>
        <v>12</v>
      </c>
      <c r="N88" s="50"/>
    </row>
    <row r="89" ht="14.25" customHeight="1" spans="1:14">
      <c r="A89" t="s">
        <v>45</v>
      </c>
      <c r="B89" t="s">
        <v>213</v>
      </c>
      <c r="C89" t="s">
        <v>214</v>
      </c>
      <c r="D89" t="s">
        <v>48</v>
      </c>
      <c r="E89" t="s">
        <v>212</v>
      </c>
      <c r="F89" t="s">
        <v>122</v>
      </c>
      <c r="G89" t="s">
        <v>51</v>
      </c>
      <c r="H89" s="78" t="s">
        <v>181</v>
      </c>
      <c r="I89" s="107" t="s">
        <v>53</v>
      </c>
      <c r="J89" s="79" t="s">
        <v>54</v>
      </c>
      <c r="K89" s="80">
        <v>1</v>
      </c>
      <c r="L89" s="81">
        <v>12</v>
      </c>
      <c r="M89" s="82">
        <f t="shared" si="1"/>
        <v>12</v>
      </c>
      <c r="N89" s="50"/>
    </row>
    <row r="90" ht="14.25" customHeight="1" spans="1:14">
      <c r="A90" t="s">
        <v>45</v>
      </c>
      <c r="B90" t="s">
        <v>215</v>
      </c>
      <c r="C90" t="s">
        <v>216</v>
      </c>
      <c r="D90" t="s">
        <v>48</v>
      </c>
      <c r="E90" t="s">
        <v>212</v>
      </c>
      <c r="F90" t="s">
        <v>122</v>
      </c>
      <c r="G90" t="s">
        <v>51</v>
      </c>
      <c r="H90" s="78" t="s">
        <v>181</v>
      </c>
      <c r="I90" s="107" t="s">
        <v>53</v>
      </c>
      <c r="J90" s="79" t="s">
        <v>54</v>
      </c>
      <c r="K90" s="80">
        <v>1</v>
      </c>
      <c r="L90" s="81">
        <v>12</v>
      </c>
      <c r="M90" s="82">
        <f t="shared" si="1"/>
        <v>12</v>
      </c>
      <c r="N90" s="50"/>
    </row>
    <row r="91" ht="14.25" customHeight="1" spans="1:14">
      <c r="A91" t="s">
        <v>45</v>
      </c>
      <c r="B91" t="s">
        <v>217</v>
      </c>
      <c r="C91" t="s">
        <v>218</v>
      </c>
      <c r="D91" t="s">
        <v>48</v>
      </c>
      <c r="E91" t="s">
        <v>212</v>
      </c>
      <c r="F91" t="s">
        <v>122</v>
      </c>
      <c r="G91" t="s">
        <v>51</v>
      </c>
      <c r="H91" s="78" t="s">
        <v>181</v>
      </c>
      <c r="I91" s="107" t="s">
        <v>53</v>
      </c>
      <c r="J91" s="79" t="s">
        <v>54</v>
      </c>
      <c r="K91" s="80">
        <v>1</v>
      </c>
      <c r="L91" s="81">
        <v>12</v>
      </c>
      <c r="M91" s="82">
        <f t="shared" ref="M91:M143" si="2">K91*L91</f>
        <v>12</v>
      </c>
      <c r="N91" s="50"/>
    </row>
    <row r="92" ht="14.25" customHeight="1" spans="1:14">
      <c r="A92" t="s">
        <v>45</v>
      </c>
      <c r="B92" t="s">
        <v>219</v>
      </c>
      <c r="C92" t="s">
        <v>220</v>
      </c>
      <c r="D92" t="s">
        <v>48</v>
      </c>
      <c r="E92" t="s">
        <v>221</v>
      </c>
      <c r="F92" t="s">
        <v>222</v>
      </c>
      <c r="G92" t="s">
        <v>51</v>
      </c>
      <c r="H92" s="78" t="s">
        <v>181</v>
      </c>
      <c r="I92" s="107" t="s">
        <v>53</v>
      </c>
      <c r="J92" s="79" t="s">
        <v>54</v>
      </c>
      <c r="K92" s="80">
        <v>20</v>
      </c>
      <c r="L92" s="81">
        <v>18.15</v>
      </c>
      <c r="M92" s="82">
        <f t="shared" si="2"/>
        <v>363</v>
      </c>
      <c r="N92" s="50"/>
    </row>
    <row r="93" ht="14.25" customHeight="1" spans="1:14">
      <c r="A93" t="s">
        <v>45</v>
      </c>
      <c r="B93" t="s">
        <v>223</v>
      </c>
      <c r="C93" t="s">
        <v>224</v>
      </c>
      <c r="D93" t="s">
        <v>48</v>
      </c>
      <c r="E93" t="s">
        <v>221</v>
      </c>
      <c r="F93" t="s">
        <v>222</v>
      </c>
      <c r="G93" t="s">
        <v>51</v>
      </c>
      <c r="H93" s="78" t="s">
        <v>181</v>
      </c>
      <c r="I93" s="107" t="s">
        <v>53</v>
      </c>
      <c r="J93" s="79" t="s">
        <v>54</v>
      </c>
      <c r="K93" s="80">
        <v>31</v>
      </c>
      <c r="L93" s="81">
        <v>18.15</v>
      </c>
      <c r="M93" s="82">
        <f t="shared" si="2"/>
        <v>562.65</v>
      </c>
      <c r="N93" s="50"/>
    </row>
    <row r="94" ht="14.25" customHeight="1" spans="1:14">
      <c r="A94" t="s">
        <v>45</v>
      </c>
      <c r="B94" t="s">
        <v>225</v>
      </c>
      <c r="C94" t="s">
        <v>226</v>
      </c>
      <c r="D94" t="s">
        <v>48</v>
      </c>
      <c r="E94" t="s">
        <v>221</v>
      </c>
      <c r="F94" t="s">
        <v>222</v>
      </c>
      <c r="G94" t="s">
        <v>51</v>
      </c>
      <c r="H94" s="78" t="s">
        <v>181</v>
      </c>
      <c r="I94" s="107" t="s">
        <v>53</v>
      </c>
      <c r="J94" s="79" t="s">
        <v>54</v>
      </c>
      <c r="K94" s="80">
        <v>22</v>
      </c>
      <c r="L94" s="81">
        <v>18.15</v>
      </c>
      <c r="M94" s="82">
        <f t="shared" si="2"/>
        <v>399.3</v>
      </c>
      <c r="N94" s="50"/>
    </row>
    <row r="95" ht="14.25" customHeight="1" spans="1:14">
      <c r="A95" t="s">
        <v>45</v>
      </c>
      <c r="B95" t="s">
        <v>227</v>
      </c>
      <c r="C95" t="s">
        <v>228</v>
      </c>
      <c r="D95" t="s">
        <v>48</v>
      </c>
      <c r="E95" t="s">
        <v>221</v>
      </c>
      <c r="F95" t="s">
        <v>222</v>
      </c>
      <c r="G95" t="s">
        <v>51</v>
      </c>
      <c r="H95" s="78" t="s">
        <v>181</v>
      </c>
      <c r="I95" s="107" t="s">
        <v>53</v>
      </c>
      <c r="J95" s="79" t="s">
        <v>54</v>
      </c>
      <c r="K95" s="80">
        <v>11</v>
      </c>
      <c r="L95" s="81">
        <v>18.15</v>
      </c>
      <c r="M95" s="82">
        <f t="shared" si="2"/>
        <v>199.65</v>
      </c>
      <c r="N95" s="50"/>
    </row>
    <row r="96" ht="14.25" customHeight="1" spans="1:14">
      <c r="A96" t="s">
        <v>45</v>
      </c>
      <c r="B96" t="s">
        <v>229</v>
      </c>
      <c r="C96" t="s">
        <v>230</v>
      </c>
      <c r="D96" t="s">
        <v>48</v>
      </c>
      <c r="E96" t="s">
        <v>221</v>
      </c>
      <c r="F96" t="s">
        <v>222</v>
      </c>
      <c r="G96" t="s">
        <v>51</v>
      </c>
      <c r="H96" s="78" t="s">
        <v>181</v>
      </c>
      <c r="I96" s="107" t="s">
        <v>53</v>
      </c>
      <c r="J96" s="79" t="s">
        <v>54</v>
      </c>
      <c r="K96" s="80">
        <v>3</v>
      </c>
      <c r="L96" s="81">
        <v>18.15</v>
      </c>
      <c r="M96" s="82">
        <f t="shared" si="2"/>
        <v>54.45</v>
      </c>
      <c r="N96" s="50"/>
    </row>
    <row r="97" ht="14.25" customHeight="1" spans="1:14">
      <c r="A97" t="s">
        <v>45</v>
      </c>
      <c r="B97" t="s">
        <v>231</v>
      </c>
      <c r="C97" t="s">
        <v>232</v>
      </c>
      <c r="D97" t="s">
        <v>48</v>
      </c>
      <c r="E97" t="s">
        <v>221</v>
      </c>
      <c r="F97" t="s">
        <v>132</v>
      </c>
      <c r="G97" t="s">
        <v>51</v>
      </c>
      <c r="H97" s="78" t="s">
        <v>181</v>
      </c>
      <c r="I97" s="107" t="s">
        <v>53</v>
      </c>
      <c r="J97" s="79" t="s">
        <v>54</v>
      </c>
      <c r="K97" s="80">
        <v>3</v>
      </c>
      <c r="L97" s="81">
        <v>19.06</v>
      </c>
      <c r="M97" s="82">
        <f t="shared" si="2"/>
        <v>57.18</v>
      </c>
      <c r="N97" s="50"/>
    </row>
    <row r="98" ht="14.25" customHeight="1" spans="1:14">
      <c r="A98" t="s">
        <v>45</v>
      </c>
      <c r="B98" t="s">
        <v>233</v>
      </c>
      <c r="C98" t="s">
        <v>234</v>
      </c>
      <c r="D98" t="s">
        <v>48</v>
      </c>
      <c r="E98" t="s">
        <v>221</v>
      </c>
      <c r="F98" t="s">
        <v>132</v>
      </c>
      <c r="G98" t="s">
        <v>51</v>
      </c>
      <c r="H98" s="78" t="s">
        <v>181</v>
      </c>
      <c r="I98" s="107" t="s">
        <v>53</v>
      </c>
      <c r="J98" s="79" t="s">
        <v>54</v>
      </c>
      <c r="K98" s="80">
        <v>5</v>
      </c>
      <c r="L98" s="81">
        <v>19.06</v>
      </c>
      <c r="M98" s="82">
        <f t="shared" si="2"/>
        <v>95.3</v>
      </c>
      <c r="N98" s="50"/>
    </row>
    <row r="99" ht="14.25" customHeight="1" spans="1:14">
      <c r="A99" t="s">
        <v>45</v>
      </c>
      <c r="B99" t="s">
        <v>235</v>
      </c>
      <c r="C99" t="s">
        <v>236</v>
      </c>
      <c r="D99" t="s">
        <v>48</v>
      </c>
      <c r="E99" t="s">
        <v>221</v>
      </c>
      <c r="F99" t="s">
        <v>132</v>
      </c>
      <c r="G99" t="s">
        <v>51</v>
      </c>
      <c r="H99" s="78" t="s">
        <v>181</v>
      </c>
      <c r="I99" s="107" t="s">
        <v>53</v>
      </c>
      <c r="J99" s="79" t="s">
        <v>54</v>
      </c>
      <c r="K99" s="80">
        <v>4</v>
      </c>
      <c r="L99" s="81">
        <v>19.06</v>
      </c>
      <c r="M99" s="82">
        <f t="shared" si="2"/>
        <v>76.24</v>
      </c>
      <c r="N99" s="50"/>
    </row>
    <row r="100" ht="14.25" customHeight="1" spans="1:14">
      <c r="A100" t="s">
        <v>45</v>
      </c>
      <c r="B100" t="s">
        <v>237</v>
      </c>
      <c r="C100" t="s">
        <v>238</v>
      </c>
      <c r="D100" t="s">
        <v>48</v>
      </c>
      <c r="E100" t="s">
        <v>221</v>
      </c>
      <c r="F100" t="s">
        <v>132</v>
      </c>
      <c r="G100" t="s">
        <v>51</v>
      </c>
      <c r="H100" s="78" t="s">
        <v>181</v>
      </c>
      <c r="I100" s="107" t="s">
        <v>53</v>
      </c>
      <c r="J100" s="79" t="s">
        <v>54</v>
      </c>
      <c r="K100" s="80">
        <v>2</v>
      </c>
      <c r="L100" s="81">
        <v>19.06</v>
      </c>
      <c r="M100" s="82">
        <f t="shared" si="2"/>
        <v>38.12</v>
      </c>
      <c r="N100" s="50"/>
    </row>
    <row r="101" ht="14.25" customHeight="1" spans="1:14">
      <c r="A101" t="s">
        <v>45</v>
      </c>
      <c r="B101" t="s">
        <v>239</v>
      </c>
      <c r="C101" t="s">
        <v>240</v>
      </c>
      <c r="D101" t="s">
        <v>48</v>
      </c>
      <c r="E101" t="s">
        <v>221</v>
      </c>
      <c r="F101" t="s">
        <v>132</v>
      </c>
      <c r="G101" t="s">
        <v>51</v>
      </c>
      <c r="H101" s="78" t="s">
        <v>181</v>
      </c>
      <c r="I101" s="107" t="s">
        <v>53</v>
      </c>
      <c r="J101" s="79" t="s">
        <v>54</v>
      </c>
      <c r="K101" s="80">
        <v>2</v>
      </c>
      <c r="L101" s="81">
        <v>19.06</v>
      </c>
      <c r="M101" s="82">
        <f t="shared" si="2"/>
        <v>38.12</v>
      </c>
      <c r="N101" s="50"/>
    </row>
    <row r="102" ht="14.25" customHeight="1" spans="1:14">
      <c r="A102" t="s">
        <v>45</v>
      </c>
      <c r="B102" t="s">
        <v>241</v>
      </c>
      <c r="C102" t="s">
        <v>242</v>
      </c>
      <c r="D102" t="s">
        <v>48</v>
      </c>
      <c r="E102" t="s">
        <v>221</v>
      </c>
      <c r="F102" t="s">
        <v>180</v>
      </c>
      <c r="G102" t="s">
        <v>51</v>
      </c>
      <c r="H102" s="78" t="s">
        <v>181</v>
      </c>
      <c r="I102" s="107" t="s">
        <v>53</v>
      </c>
      <c r="J102" s="79" t="s">
        <v>54</v>
      </c>
      <c r="K102" s="80">
        <v>1</v>
      </c>
      <c r="L102" s="81">
        <v>18.15</v>
      </c>
      <c r="M102" s="82">
        <f t="shared" si="2"/>
        <v>18.15</v>
      </c>
      <c r="N102" s="50"/>
    </row>
    <row r="103" ht="14.25" customHeight="1" spans="1:14">
      <c r="A103" t="s">
        <v>45</v>
      </c>
      <c r="B103" t="s">
        <v>243</v>
      </c>
      <c r="C103" t="s">
        <v>244</v>
      </c>
      <c r="D103" t="s">
        <v>48</v>
      </c>
      <c r="E103" t="s">
        <v>221</v>
      </c>
      <c r="F103" t="s">
        <v>180</v>
      </c>
      <c r="G103" t="s">
        <v>51</v>
      </c>
      <c r="H103" s="78" t="s">
        <v>181</v>
      </c>
      <c r="I103" s="107" t="s">
        <v>53</v>
      </c>
      <c r="J103" s="79" t="s">
        <v>54</v>
      </c>
      <c r="K103" s="80">
        <v>1</v>
      </c>
      <c r="L103" s="81">
        <v>18.15</v>
      </c>
      <c r="M103" s="82">
        <f t="shared" si="2"/>
        <v>18.15</v>
      </c>
      <c r="N103" s="50"/>
    </row>
    <row r="104" ht="14.25" customHeight="1" spans="1:14">
      <c r="A104" t="s">
        <v>45</v>
      </c>
      <c r="B104" t="s">
        <v>245</v>
      </c>
      <c r="C104" t="s">
        <v>246</v>
      </c>
      <c r="D104" t="s">
        <v>48</v>
      </c>
      <c r="E104" t="s">
        <v>221</v>
      </c>
      <c r="F104" t="s">
        <v>180</v>
      </c>
      <c r="G104" t="s">
        <v>51</v>
      </c>
      <c r="H104" s="78" t="s">
        <v>181</v>
      </c>
      <c r="I104" s="107" t="s">
        <v>53</v>
      </c>
      <c r="J104" s="79" t="s">
        <v>54</v>
      </c>
      <c r="K104" s="80">
        <v>1</v>
      </c>
      <c r="L104" s="81">
        <v>18.15</v>
      </c>
      <c r="M104" s="82">
        <f t="shared" si="2"/>
        <v>18.15</v>
      </c>
      <c r="N104" s="50"/>
    </row>
    <row r="105" ht="14.25" customHeight="1" spans="1:14">
      <c r="A105" t="s">
        <v>45</v>
      </c>
      <c r="B105" t="s">
        <v>247</v>
      </c>
      <c r="C105" t="s">
        <v>248</v>
      </c>
      <c r="D105" t="s">
        <v>48</v>
      </c>
      <c r="E105" t="s">
        <v>221</v>
      </c>
      <c r="F105" t="s">
        <v>249</v>
      </c>
      <c r="G105" t="s">
        <v>51</v>
      </c>
      <c r="H105" s="78" t="s">
        <v>181</v>
      </c>
      <c r="I105" s="107" t="s">
        <v>53</v>
      </c>
      <c r="J105" s="79" t="s">
        <v>54</v>
      </c>
      <c r="K105" s="80">
        <v>1</v>
      </c>
      <c r="L105" s="81">
        <v>18.15</v>
      </c>
      <c r="M105" s="82">
        <f t="shared" si="2"/>
        <v>18.15</v>
      </c>
      <c r="N105" s="50"/>
    </row>
    <row r="106" ht="14.25" customHeight="1" spans="1:14">
      <c r="A106" t="s">
        <v>45</v>
      </c>
      <c r="B106" t="s">
        <v>250</v>
      </c>
      <c r="C106" t="s">
        <v>251</v>
      </c>
      <c r="D106" t="s">
        <v>48</v>
      </c>
      <c r="E106" t="s">
        <v>221</v>
      </c>
      <c r="F106" t="s">
        <v>249</v>
      </c>
      <c r="G106" t="s">
        <v>51</v>
      </c>
      <c r="H106" s="78" t="s">
        <v>181</v>
      </c>
      <c r="I106" s="107" t="s">
        <v>53</v>
      </c>
      <c r="J106" s="79" t="s">
        <v>54</v>
      </c>
      <c r="K106" s="80">
        <v>1</v>
      </c>
      <c r="L106" s="81">
        <v>18.15</v>
      </c>
      <c r="M106" s="82">
        <f t="shared" si="2"/>
        <v>18.15</v>
      </c>
      <c r="N106" s="50"/>
    </row>
    <row r="107" ht="14.25" customHeight="1" spans="1:14">
      <c r="A107" t="s">
        <v>45</v>
      </c>
      <c r="B107" t="s">
        <v>252</v>
      </c>
      <c r="C107" t="s">
        <v>253</v>
      </c>
      <c r="D107" t="s">
        <v>48</v>
      </c>
      <c r="E107" t="s">
        <v>221</v>
      </c>
      <c r="F107" t="s">
        <v>249</v>
      </c>
      <c r="G107" t="s">
        <v>51</v>
      </c>
      <c r="H107" s="78" t="s">
        <v>181</v>
      </c>
      <c r="I107" s="107" t="s">
        <v>53</v>
      </c>
      <c r="J107" s="79" t="s">
        <v>54</v>
      </c>
      <c r="K107" s="80">
        <v>1</v>
      </c>
      <c r="L107" s="81">
        <v>18.15</v>
      </c>
      <c r="M107" s="82">
        <f t="shared" si="2"/>
        <v>18.15</v>
      </c>
      <c r="N107" s="50"/>
    </row>
    <row r="108" ht="14.25" customHeight="1" spans="1:14">
      <c r="A108" t="s">
        <v>45</v>
      </c>
      <c r="B108" t="s">
        <v>254</v>
      </c>
      <c r="C108" t="s">
        <v>255</v>
      </c>
      <c r="D108" t="s">
        <v>48</v>
      </c>
      <c r="E108" t="s">
        <v>256</v>
      </c>
      <c r="F108" t="s">
        <v>122</v>
      </c>
      <c r="G108" t="s">
        <v>257</v>
      </c>
      <c r="H108" s="78" t="s">
        <v>181</v>
      </c>
      <c r="I108" s="107" t="s">
        <v>53</v>
      </c>
      <c r="J108" s="79" t="s">
        <v>54</v>
      </c>
      <c r="K108" s="80">
        <v>1</v>
      </c>
      <c r="L108" s="81">
        <v>16.15</v>
      </c>
      <c r="M108" s="82">
        <f t="shared" si="2"/>
        <v>16.15</v>
      </c>
      <c r="N108" s="50"/>
    </row>
    <row r="109" ht="14.25" customHeight="1" spans="1:14">
      <c r="A109" t="s">
        <v>45</v>
      </c>
      <c r="B109" t="s">
        <v>258</v>
      </c>
      <c r="C109" t="s">
        <v>259</v>
      </c>
      <c r="D109" t="s">
        <v>48</v>
      </c>
      <c r="E109" t="s">
        <v>256</v>
      </c>
      <c r="F109" t="s">
        <v>122</v>
      </c>
      <c r="G109" t="s">
        <v>257</v>
      </c>
      <c r="H109" s="78" t="s">
        <v>181</v>
      </c>
      <c r="I109" s="107" t="s">
        <v>53</v>
      </c>
      <c r="J109" s="79" t="s">
        <v>54</v>
      </c>
      <c r="K109" s="80">
        <v>1</v>
      </c>
      <c r="L109" s="81">
        <v>16.15</v>
      </c>
      <c r="M109" s="82">
        <f t="shared" si="2"/>
        <v>16.15</v>
      </c>
      <c r="N109" s="50"/>
    </row>
    <row r="110" ht="14.25" customHeight="1" spans="1:14">
      <c r="A110" t="s">
        <v>45</v>
      </c>
      <c r="B110" t="s">
        <v>260</v>
      </c>
      <c r="C110" t="s">
        <v>261</v>
      </c>
      <c r="D110" t="s">
        <v>48</v>
      </c>
      <c r="E110" t="s">
        <v>256</v>
      </c>
      <c r="F110" t="s">
        <v>122</v>
      </c>
      <c r="G110" t="s">
        <v>257</v>
      </c>
      <c r="H110" s="78" t="s">
        <v>181</v>
      </c>
      <c r="I110" s="107" t="s">
        <v>53</v>
      </c>
      <c r="J110" s="79" t="s">
        <v>54</v>
      </c>
      <c r="K110" s="80">
        <v>1</v>
      </c>
      <c r="L110" s="81">
        <v>16.15</v>
      </c>
      <c r="M110" s="82">
        <f t="shared" si="2"/>
        <v>16.15</v>
      </c>
      <c r="N110" s="50"/>
    </row>
    <row r="111" ht="14.25" customHeight="1" spans="1:14">
      <c r="A111" t="s">
        <v>45</v>
      </c>
      <c r="B111" t="s">
        <v>262</v>
      </c>
      <c r="C111" t="s">
        <v>263</v>
      </c>
      <c r="D111" t="s">
        <v>48</v>
      </c>
      <c r="E111" t="s">
        <v>256</v>
      </c>
      <c r="F111" t="s">
        <v>122</v>
      </c>
      <c r="G111" t="s">
        <v>257</v>
      </c>
      <c r="H111" s="78" t="s">
        <v>181</v>
      </c>
      <c r="I111" s="107" t="s">
        <v>53</v>
      </c>
      <c r="J111" s="79" t="s">
        <v>54</v>
      </c>
      <c r="K111" s="80">
        <v>1</v>
      </c>
      <c r="L111" s="81">
        <v>16.15</v>
      </c>
      <c r="M111" s="82">
        <f t="shared" si="2"/>
        <v>16.15</v>
      </c>
      <c r="N111" s="50"/>
    </row>
    <row r="112" ht="14.25" customHeight="1" spans="1:14">
      <c r="A112" t="s">
        <v>45</v>
      </c>
      <c r="B112" t="s">
        <v>264</v>
      </c>
      <c r="C112" t="s">
        <v>265</v>
      </c>
      <c r="D112" t="s">
        <v>48</v>
      </c>
      <c r="E112" t="s">
        <v>256</v>
      </c>
      <c r="F112" t="s">
        <v>122</v>
      </c>
      <c r="G112" t="s">
        <v>257</v>
      </c>
      <c r="H112" s="78" t="s">
        <v>181</v>
      </c>
      <c r="I112" s="107" t="s">
        <v>53</v>
      </c>
      <c r="J112" s="79" t="s">
        <v>54</v>
      </c>
      <c r="K112" s="80">
        <v>1</v>
      </c>
      <c r="L112" s="81">
        <v>16.15</v>
      </c>
      <c r="M112" s="82">
        <f t="shared" si="2"/>
        <v>16.15</v>
      </c>
      <c r="N112" s="50"/>
    </row>
    <row r="113" ht="14.25" customHeight="1" spans="1:14">
      <c r="A113" t="s">
        <v>45</v>
      </c>
      <c r="B113" t="s">
        <v>266</v>
      </c>
      <c r="C113" t="s">
        <v>267</v>
      </c>
      <c r="D113" t="s">
        <v>48</v>
      </c>
      <c r="E113" t="s">
        <v>256</v>
      </c>
      <c r="F113" t="s">
        <v>132</v>
      </c>
      <c r="G113" t="s">
        <v>257</v>
      </c>
      <c r="H113" s="78" t="s">
        <v>181</v>
      </c>
      <c r="I113" s="107" t="s">
        <v>53</v>
      </c>
      <c r="J113" s="79" t="s">
        <v>54</v>
      </c>
      <c r="K113" s="80">
        <v>4</v>
      </c>
      <c r="L113" s="81">
        <v>16.96</v>
      </c>
      <c r="M113" s="82">
        <f t="shared" si="2"/>
        <v>67.84</v>
      </c>
      <c r="N113" s="50"/>
    </row>
    <row r="114" ht="14.25" customHeight="1" spans="1:14">
      <c r="A114" t="s">
        <v>45</v>
      </c>
      <c r="B114" t="s">
        <v>268</v>
      </c>
      <c r="C114" t="s">
        <v>269</v>
      </c>
      <c r="D114" t="s">
        <v>48</v>
      </c>
      <c r="E114" t="s">
        <v>256</v>
      </c>
      <c r="F114" t="s">
        <v>132</v>
      </c>
      <c r="G114" t="s">
        <v>257</v>
      </c>
      <c r="H114" s="78" t="s">
        <v>181</v>
      </c>
      <c r="I114" s="107" t="s">
        <v>53</v>
      </c>
      <c r="J114" s="79" t="s">
        <v>54</v>
      </c>
      <c r="K114" s="80">
        <v>4</v>
      </c>
      <c r="L114" s="81">
        <v>16.96</v>
      </c>
      <c r="M114" s="82">
        <f t="shared" si="2"/>
        <v>67.84</v>
      </c>
      <c r="N114" s="50"/>
    </row>
    <row r="115" ht="14.25" customHeight="1" spans="1:14">
      <c r="A115" t="s">
        <v>45</v>
      </c>
      <c r="B115" t="s">
        <v>270</v>
      </c>
      <c r="C115" t="s">
        <v>271</v>
      </c>
      <c r="D115" t="s">
        <v>48</v>
      </c>
      <c r="E115" t="s">
        <v>256</v>
      </c>
      <c r="F115" t="s">
        <v>132</v>
      </c>
      <c r="G115" t="s">
        <v>257</v>
      </c>
      <c r="H115" s="78" t="s">
        <v>181</v>
      </c>
      <c r="I115" s="107" t="s">
        <v>53</v>
      </c>
      <c r="J115" s="79" t="s">
        <v>54</v>
      </c>
      <c r="K115" s="80">
        <v>4</v>
      </c>
      <c r="L115" s="81">
        <v>16.96</v>
      </c>
      <c r="M115" s="82">
        <f t="shared" si="2"/>
        <v>67.84</v>
      </c>
      <c r="N115" s="50"/>
    </row>
    <row r="116" ht="14.25" customHeight="1" spans="1:14">
      <c r="A116" t="s">
        <v>45</v>
      </c>
      <c r="B116" t="s">
        <v>272</v>
      </c>
      <c r="C116" t="s">
        <v>273</v>
      </c>
      <c r="D116" t="s">
        <v>48</v>
      </c>
      <c r="E116" t="s">
        <v>256</v>
      </c>
      <c r="F116" t="s">
        <v>132</v>
      </c>
      <c r="G116" t="s">
        <v>257</v>
      </c>
      <c r="H116" s="78" t="s">
        <v>181</v>
      </c>
      <c r="I116" s="107" t="s">
        <v>53</v>
      </c>
      <c r="J116" s="79" t="s">
        <v>54</v>
      </c>
      <c r="K116" s="80">
        <v>2</v>
      </c>
      <c r="L116" s="81">
        <v>16.96</v>
      </c>
      <c r="M116" s="82">
        <f t="shared" si="2"/>
        <v>33.92</v>
      </c>
      <c r="N116" s="50"/>
    </row>
    <row r="117" ht="14.25" customHeight="1" spans="1:14">
      <c r="A117" t="s">
        <v>45</v>
      </c>
      <c r="B117" t="s">
        <v>274</v>
      </c>
      <c r="C117" t="s">
        <v>275</v>
      </c>
      <c r="D117" t="s">
        <v>48</v>
      </c>
      <c r="E117" t="s">
        <v>276</v>
      </c>
      <c r="F117" t="s">
        <v>277</v>
      </c>
      <c r="G117" t="s">
        <v>278</v>
      </c>
      <c r="H117" s="78" t="s">
        <v>181</v>
      </c>
      <c r="I117" s="78" t="s">
        <v>113</v>
      </c>
      <c r="J117" s="79" t="s">
        <v>114</v>
      </c>
      <c r="K117" s="80">
        <v>15</v>
      </c>
      <c r="L117" s="81">
        <v>30.65</v>
      </c>
      <c r="M117" s="82">
        <f t="shared" si="2"/>
        <v>459.75</v>
      </c>
      <c r="N117" s="50"/>
    </row>
    <row r="118" ht="14.25" customHeight="1" spans="1:14">
      <c r="A118" t="s">
        <v>45</v>
      </c>
      <c r="B118" t="s">
        <v>279</v>
      </c>
      <c r="C118" t="s">
        <v>280</v>
      </c>
      <c r="D118" t="s">
        <v>48</v>
      </c>
      <c r="E118" t="s">
        <v>276</v>
      </c>
      <c r="F118" t="s">
        <v>277</v>
      </c>
      <c r="G118" t="s">
        <v>278</v>
      </c>
      <c r="H118" s="78" t="s">
        <v>181</v>
      </c>
      <c r="I118" s="78" t="s">
        <v>113</v>
      </c>
      <c r="J118" s="79" t="s">
        <v>114</v>
      </c>
      <c r="K118" s="80">
        <v>20</v>
      </c>
      <c r="L118" s="81">
        <v>30.65</v>
      </c>
      <c r="M118" s="82">
        <f t="shared" si="2"/>
        <v>613</v>
      </c>
      <c r="N118" s="50"/>
    </row>
    <row r="119" ht="14.25" customHeight="1" spans="1:14">
      <c r="A119" t="s">
        <v>45</v>
      </c>
      <c r="B119" t="s">
        <v>281</v>
      </c>
      <c r="C119" t="s">
        <v>282</v>
      </c>
      <c r="D119" t="s">
        <v>48</v>
      </c>
      <c r="E119" t="s">
        <v>276</v>
      </c>
      <c r="F119" t="s">
        <v>277</v>
      </c>
      <c r="G119" t="s">
        <v>278</v>
      </c>
      <c r="H119" s="78" t="s">
        <v>181</v>
      </c>
      <c r="I119" s="78" t="s">
        <v>113</v>
      </c>
      <c r="J119" s="79" t="s">
        <v>114</v>
      </c>
      <c r="K119" s="80">
        <v>18</v>
      </c>
      <c r="L119" s="81">
        <v>30.65</v>
      </c>
      <c r="M119" s="82">
        <f t="shared" si="2"/>
        <v>551.7</v>
      </c>
      <c r="N119" s="50"/>
    </row>
    <row r="120" ht="14.25" customHeight="1" spans="1:14">
      <c r="A120" t="s">
        <v>45</v>
      </c>
      <c r="B120" t="s">
        <v>283</v>
      </c>
      <c r="C120" t="s">
        <v>284</v>
      </c>
      <c r="D120" t="s">
        <v>48</v>
      </c>
      <c r="E120" t="s">
        <v>276</v>
      </c>
      <c r="F120" t="s">
        <v>277</v>
      </c>
      <c r="G120" t="s">
        <v>278</v>
      </c>
      <c r="H120" s="78" t="s">
        <v>181</v>
      </c>
      <c r="I120" s="78" t="s">
        <v>113</v>
      </c>
      <c r="J120" s="79" t="s">
        <v>114</v>
      </c>
      <c r="K120" s="80">
        <v>8</v>
      </c>
      <c r="L120" s="81">
        <v>30.65</v>
      </c>
      <c r="M120" s="82">
        <f t="shared" si="2"/>
        <v>245.2</v>
      </c>
      <c r="N120" s="50"/>
    </row>
    <row r="121" ht="14.25" customHeight="1" spans="1:14">
      <c r="A121" t="s">
        <v>45</v>
      </c>
      <c r="B121" t="s">
        <v>285</v>
      </c>
      <c r="C121" t="s">
        <v>286</v>
      </c>
      <c r="D121" t="s">
        <v>48</v>
      </c>
      <c r="E121" t="s">
        <v>276</v>
      </c>
      <c r="F121" t="s">
        <v>277</v>
      </c>
      <c r="G121" t="s">
        <v>278</v>
      </c>
      <c r="H121" s="78" t="s">
        <v>181</v>
      </c>
      <c r="I121" s="78" t="s">
        <v>113</v>
      </c>
      <c r="J121" s="79" t="s">
        <v>114</v>
      </c>
      <c r="K121" s="80">
        <v>6</v>
      </c>
      <c r="L121" s="81">
        <v>30.65</v>
      </c>
      <c r="M121" s="82">
        <f t="shared" si="2"/>
        <v>183.9</v>
      </c>
      <c r="N121" s="50"/>
    </row>
    <row r="122" ht="14.25" customHeight="1" spans="1:14">
      <c r="A122" t="s">
        <v>45</v>
      </c>
      <c r="B122" t="s">
        <v>287</v>
      </c>
      <c r="C122" t="s">
        <v>288</v>
      </c>
      <c r="D122" t="s">
        <v>48</v>
      </c>
      <c r="E122" t="s">
        <v>276</v>
      </c>
      <c r="F122" t="s">
        <v>289</v>
      </c>
      <c r="G122" t="s">
        <v>278</v>
      </c>
      <c r="H122" s="78" t="s">
        <v>181</v>
      </c>
      <c r="I122" s="78" t="s">
        <v>113</v>
      </c>
      <c r="J122" s="79" t="s">
        <v>114</v>
      </c>
      <c r="K122" s="80">
        <v>12</v>
      </c>
      <c r="L122" s="81">
        <v>30.65</v>
      </c>
      <c r="M122" s="82">
        <f t="shared" si="2"/>
        <v>367.8</v>
      </c>
      <c r="N122" s="50"/>
    </row>
    <row r="123" ht="14.25" customHeight="1" spans="1:14">
      <c r="A123" t="s">
        <v>45</v>
      </c>
      <c r="B123" t="s">
        <v>290</v>
      </c>
      <c r="C123" t="s">
        <v>291</v>
      </c>
      <c r="D123" t="s">
        <v>48</v>
      </c>
      <c r="E123" t="s">
        <v>276</v>
      </c>
      <c r="F123" t="s">
        <v>289</v>
      </c>
      <c r="G123" t="s">
        <v>278</v>
      </c>
      <c r="H123" s="78" t="s">
        <v>181</v>
      </c>
      <c r="I123" s="78" t="s">
        <v>113</v>
      </c>
      <c r="J123" s="79" t="s">
        <v>114</v>
      </c>
      <c r="K123" s="80">
        <v>16</v>
      </c>
      <c r="L123" s="81">
        <v>30.65</v>
      </c>
      <c r="M123" s="82">
        <f t="shared" si="2"/>
        <v>490.4</v>
      </c>
      <c r="N123" s="50"/>
    </row>
    <row r="124" ht="14.25" customHeight="1" spans="1:14">
      <c r="A124" t="s">
        <v>45</v>
      </c>
      <c r="B124" t="s">
        <v>292</v>
      </c>
      <c r="C124" t="s">
        <v>293</v>
      </c>
      <c r="D124" t="s">
        <v>48</v>
      </c>
      <c r="E124" t="s">
        <v>276</v>
      </c>
      <c r="F124" t="s">
        <v>289</v>
      </c>
      <c r="G124" t="s">
        <v>278</v>
      </c>
      <c r="H124" s="78" t="s">
        <v>181</v>
      </c>
      <c r="I124" s="78" t="s">
        <v>113</v>
      </c>
      <c r="J124" s="79" t="s">
        <v>114</v>
      </c>
      <c r="K124" s="80">
        <v>11</v>
      </c>
      <c r="L124" s="81">
        <v>30.65</v>
      </c>
      <c r="M124" s="82">
        <f t="shared" si="2"/>
        <v>337.15</v>
      </c>
      <c r="N124" s="50"/>
    </row>
    <row r="125" ht="14.25" customHeight="1" spans="1:14">
      <c r="A125" t="s">
        <v>45</v>
      </c>
      <c r="B125" t="s">
        <v>294</v>
      </c>
      <c r="C125" t="s">
        <v>295</v>
      </c>
      <c r="D125" t="s">
        <v>48</v>
      </c>
      <c r="E125" t="s">
        <v>276</v>
      </c>
      <c r="F125" t="s">
        <v>289</v>
      </c>
      <c r="G125" t="s">
        <v>278</v>
      </c>
      <c r="H125" s="78" t="s">
        <v>181</v>
      </c>
      <c r="I125" s="78" t="s">
        <v>113</v>
      </c>
      <c r="J125" s="79" t="s">
        <v>114</v>
      </c>
      <c r="K125" s="80">
        <v>6</v>
      </c>
      <c r="L125" s="81">
        <v>30.65</v>
      </c>
      <c r="M125" s="82">
        <f t="shared" si="2"/>
        <v>183.9</v>
      </c>
      <c r="N125" s="50"/>
    </row>
    <row r="126" ht="14.25" customHeight="1" spans="1:14">
      <c r="A126" t="s">
        <v>45</v>
      </c>
      <c r="B126" t="s">
        <v>296</v>
      </c>
      <c r="C126" t="s">
        <v>297</v>
      </c>
      <c r="D126" t="s">
        <v>48</v>
      </c>
      <c r="E126" t="s">
        <v>276</v>
      </c>
      <c r="F126" t="s">
        <v>289</v>
      </c>
      <c r="G126" t="s">
        <v>278</v>
      </c>
      <c r="H126" s="78" t="s">
        <v>181</v>
      </c>
      <c r="I126" s="78" t="s">
        <v>113</v>
      </c>
      <c r="J126" s="79" t="s">
        <v>114</v>
      </c>
      <c r="K126" s="80">
        <v>3</v>
      </c>
      <c r="L126" s="81">
        <v>30.65</v>
      </c>
      <c r="M126" s="82">
        <f t="shared" si="2"/>
        <v>91.95</v>
      </c>
      <c r="N126" s="50"/>
    </row>
    <row r="127" ht="14.25" customHeight="1" spans="1:14">
      <c r="A127" t="s">
        <v>45</v>
      </c>
      <c r="B127" t="s">
        <v>298</v>
      </c>
      <c r="C127" t="s">
        <v>299</v>
      </c>
      <c r="D127" t="s">
        <v>48</v>
      </c>
      <c r="E127" t="s">
        <v>300</v>
      </c>
      <c r="F127" t="s">
        <v>301</v>
      </c>
      <c r="G127" t="s">
        <v>123</v>
      </c>
      <c r="H127" s="78" t="s">
        <v>181</v>
      </c>
      <c r="I127" s="78" t="s">
        <v>113</v>
      </c>
      <c r="J127" s="79" t="s">
        <v>114</v>
      </c>
      <c r="K127" s="80">
        <v>1</v>
      </c>
      <c r="L127" s="81">
        <v>19.35</v>
      </c>
      <c r="M127" s="82">
        <f t="shared" si="2"/>
        <v>19.35</v>
      </c>
      <c r="N127" s="50"/>
    </row>
    <row r="128" ht="14.25" customHeight="1" spans="1:14">
      <c r="A128" t="s">
        <v>45</v>
      </c>
      <c r="B128" t="s">
        <v>302</v>
      </c>
      <c r="C128" t="s">
        <v>303</v>
      </c>
      <c r="D128" t="s">
        <v>48</v>
      </c>
      <c r="E128" t="s">
        <v>300</v>
      </c>
      <c r="F128" t="s">
        <v>301</v>
      </c>
      <c r="G128" t="s">
        <v>123</v>
      </c>
      <c r="H128" s="78" t="s">
        <v>181</v>
      </c>
      <c r="I128" s="78" t="s">
        <v>113</v>
      </c>
      <c r="J128" s="79" t="s">
        <v>114</v>
      </c>
      <c r="K128" s="80">
        <v>2</v>
      </c>
      <c r="L128" s="81">
        <v>19.35</v>
      </c>
      <c r="M128" s="82">
        <f t="shared" si="2"/>
        <v>38.7</v>
      </c>
      <c r="N128" s="50"/>
    </row>
    <row r="129" ht="14.25" customHeight="1" spans="1:14">
      <c r="A129" t="s">
        <v>45</v>
      </c>
      <c r="B129" t="s">
        <v>304</v>
      </c>
      <c r="C129" t="s">
        <v>305</v>
      </c>
      <c r="D129" t="s">
        <v>48</v>
      </c>
      <c r="E129" t="s">
        <v>300</v>
      </c>
      <c r="F129" t="s">
        <v>301</v>
      </c>
      <c r="G129" t="s">
        <v>123</v>
      </c>
      <c r="H129" s="78" t="s">
        <v>181</v>
      </c>
      <c r="I129" s="78" t="s">
        <v>113</v>
      </c>
      <c r="J129" s="79" t="s">
        <v>114</v>
      </c>
      <c r="K129" s="80">
        <v>2</v>
      </c>
      <c r="L129" s="81">
        <v>19.35</v>
      </c>
      <c r="M129" s="82">
        <f t="shared" si="2"/>
        <v>38.7</v>
      </c>
      <c r="N129" s="50"/>
    </row>
    <row r="130" ht="14.25" customHeight="1" spans="1:14">
      <c r="A130" t="s">
        <v>45</v>
      </c>
      <c r="B130" t="s">
        <v>306</v>
      </c>
      <c r="C130" t="s">
        <v>307</v>
      </c>
      <c r="D130" t="s">
        <v>48</v>
      </c>
      <c r="E130" t="s">
        <v>300</v>
      </c>
      <c r="F130" t="s">
        <v>301</v>
      </c>
      <c r="G130" t="s">
        <v>123</v>
      </c>
      <c r="H130" s="78" t="s">
        <v>181</v>
      </c>
      <c r="I130" s="78" t="s">
        <v>113</v>
      </c>
      <c r="J130" s="79" t="s">
        <v>114</v>
      </c>
      <c r="K130" s="80">
        <v>1</v>
      </c>
      <c r="L130" s="81">
        <v>19.35</v>
      </c>
      <c r="M130" s="82">
        <f t="shared" si="2"/>
        <v>19.35</v>
      </c>
      <c r="N130" s="50"/>
    </row>
    <row r="131" ht="14.25" customHeight="1" spans="1:14">
      <c r="A131" t="s">
        <v>45</v>
      </c>
      <c r="B131" t="s">
        <v>308</v>
      </c>
      <c r="C131" t="s">
        <v>309</v>
      </c>
      <c r="D131" t="s">
        <v>48</v>
      </c>
      <c r="E131" t="s">
        <v>300</v>
      </c>
      <c r="F131" t="s">
        <v>301</v>
      </c>
      <c r="G131" t="s">
        <v>123</v>
      </c>
      <c r="H131" s="78" t="s">
        <v>181</v>
      </c>
      <c r="I131" s="78" t="s">
        <v>113</v>
      </c>
      <c r="J131" s="79" t="s">
        <v>114</v>
      </c>
      <c r="K131" s="80">
        <v>1</v>
      </c>
      <c r="L131" s="81">
        <v>19.35</v>
      </c>
      <c r="M131" s="82">
        <f t="shared" si="2"/>
        <v>19.35</v>
      </c>
      <c r="N131" s="50"/>
    </row>
    <row r="132" ht="14.25" customHeight="1" spans="1:14">
      <c r="A132" t="s">
        <v>45</v>
      </c>
      <c r="B132" t="s">
        <v>310</v>
      </c>
      <c r="C132" t="s">
        <v>311</v>
      </c>
      <c r="D132" t="s">
        <v>48</v>
      </c>
      <c r="E132" t="s">
        <v>300</v>
      </c>
      <c r="F132" t="s">
        <v>312</v>
      </c>
      <c r="G132" t="s">
        <v>123</v>
      </c>
      <c r="H132" s="78" t="s">
        <v>181</v>
      </c>
      <c r="I132" s="78" t="s">
        <v>113</v>
      </c>
      <c r="J132" s="79" t="s">
        <v>114</v>
      </c>
      <c r="K132" s="80">
        <v>1</v>
      </c>
      <c r="L132" s="81">
        <v>19.35</v>
      </c>
      <c r="M132" s="82">
        <f t="shared" si="2"/>
        <v>19.35</v>
      </c>
      <c r="N132" s="50"/>
    </row>
    <row r="133" ht="14.25" customHeight="1" spans="1:14">
      <c r="A133" t="s">
        <v>45</v>
      </c>
      <c r="B133" t="s">
        <v>313</v>
      </c>
      <c r="C133" t="s">
        <v>314</v>
      </c>
      <c r="D133" t="s">
        <v>48</v>
      </c>
      <c r="E133" t="s">
        <v>300</v>
      </c>
      <c r="F133" t="s">
        <v>312</v>
      </c>
      <c r="G133" t="s">
        <v>123</v>
      </c>
      <c r="H133" s="78" t="s">
        <v>181</v>
      </c>
      <c r="I133" s="78" t="s">
        <v>113</v>
      </c>
      <c r="J133" s="79" t="s">
        <v>114</v>
      </c>
      <c r="K133" s="80">
        <v>2</v>
      </c>
      <c r="L133" s="81">
        <v>19.35</v>
      </c>
      <c r="M133" s="82">
        <f t="shared" si="2"/>
        <v>38.7</v>
      </c>
      <c r="N133" s="50"/>
    </row>
    <row r="134" ht="14.25" customHeight="1" spans="1:14">
      <c r="A134" t="s">
        <v>45</v>
      </c>
      <c r="B134" t="s">
        <v>315</v>
      </c>
      <c r="C134" t="s">
        <v>316</v>
      </c>
      <c r="D134" t="s">
        <v>48</v>
      </c>
      <c r="E134" t="s">
        <v>300</v>
      </c>
      <c r="F134" t="s">
        <v>312</v>
      </c>
      <c r="G134" t="s">
        <v>123</v>
      </c>
      <c r="H134" s="78" t="s">
        <v>181</v>
      </c>
      <c r="I134" s="78" t="s">
        <v>113</v>
      </c>
      <c r="J134" s="79" t="s">
        <v>114</v>
      </c>
      <c r="K134" s="80">
        <v>2</v>
      </c>
      <c r="L134" s="81">
        <v>19.35</v>
      </c>
      <c r="M134" s="82">
        <f t="shared" si="2"/>
        <v>38.7</v>
      </c>
      <c r="N134" s="50"/>
    </row>
    <row r="135" ht="14.25" customHeight="1" spans="1:14">
      <c r="A135" t="s">
        <v>45</v>
      </c>
      <c r="B135" t="s">
        <v>317</v>
      </c>
      <c r="C135" t="s">
        <v>318</v>
      </c>
      <c r="D135" t="s">
        <v>48</v>
      </c>
      <c r="E135" t="s">
        <v>319</v>
      </c>
      <c r="F135" t="s">
        <v>50</v>
      </c>
      <c r="G135" t="s">
        <v>51</v>
      </c>
      <c r="H135" s="78" t="s">
        <v>181</v>
      </c>
      <c r="I135" s="107" t="s">
        <v>53</v>
      </c>
      <c r="J135" s="79" t="s">
        <v>54</v>
      </c>
      <c r="K135" s="80">
        <v>8</v>
      </c>
      <c r="L135" s="81">
        <v>18.38</v>
      </c>
      <c r="M135" s="82">
        <f t="shared" si="2"/>
        <v>147.04</v>
      </c>
      <c r="N135" s="50"/>
    </row>
    <row r="136" ht="14.25" customHeight="1" spans="1:14">
      <c r="A136" t="s">
        <v>45</v>
      </c>
      <c r="B136" t="s">
        <v>320</v>
      </c>
      <c r="C136" t="s">
        <v>321</v>
      </c>
      <c r="D136" t="s">
        <v>48</v>
      </c>
      <c r="E136" t="s">
        <v>319</v>
      </c>
      <c r="F136" t="s">
        <v>50</v>
      </c>
      <c r="G136" t="s">
        <v>51</v>
      </c>
      <c r="H136" s="78" t="s">
        <v>181</v>
      </c>
      <c r="I136" s="107" t="s">
        <v>53</v>
      </c>
      <c r="J136" s="79" t="s">
        <v>54</v>
      </c>
      <c r="K136" s="80">
        <v>8</v>
      </c>
      <c r="L136" s="81">
        <v>18.38</v>
      </c>
      <c r="M136" s="82">
        <f t="shared" si="2"/>
        <v>147.04</v>
      </c>
      <c r="N136" s="50"/>
    </row>
    <row r="137" ht="14.25" customHeight="1" spans="1:14">
      <c r="A137" t="s">
        <v>45</v>
      </c>
      <c r="B137" t="s">
        <v>322</v>
      </c>
      <c r="C137" t="s">
        <v>323</v>
      </c>
      <c r="D137" t="s">
        <v>48</v>
      </c>
      <c r="E137" t="s">
        <v>319</v>
      </c>
      <c r="F137" t="s">
        <v>50</v>
      </c>
      <c r="G137" t="s">
        <v>51</v>
      </c>
      <c r="H137" s="78" t="s">
        <v>181</v>
      </c>
      <c r="I137" s="107" t="s">
        <v>53</v>
      </c>
      <c r="J137" s="79" t="s">
        <v>54</v>
      </c>
      <c r="K137" s="80">
        <v>6</v>
      </c>
      <c r="L137" s="81">
        <v>18.38</v>
      </c>
      <c r="M137" s="82">
        <f t="shared" si="2"/>
        <v>110.28</v>
      </c>
      <c r="N137" s="50"/>
    </row>
    <row r="138" ht="14.25" customHeight="1" spans="1:14">
      <c r="A138" t="s">
        <v>45</v>
      </c>
      <c r="B138" t="s">
        <v>324</v>
      </c>
      <c r="C138" t="s">
        <v>325</v>
      </c>
      <c r="D138" t="s">
        <v>48</v>
      </c>
      <c r="E138" t="s">
        <v>319</v>
      </c>
      <c r="F138" t="s">
        <v>50</v>
      </c>
      <c r="G138" t="s">
        <v>51</v>
      </c>
      <c r="H138" s="78" t="s">
        <v>181</v>
      </c>
      <c r="I138" s="107" t="s">
        <v>53</v>
      </c>
      <c r="J138" s="79" t="s">
        <v>54</v>
      </c>
      <c r="K138" s="80">
        <v>6</v>
      </c>
      <c r="L138" s="81">
        <v>18.38</v>
      </c>
      <c r="M138" s="82">
        <f t="shared" si="2"/>
        <v>110.28</v>
      </c>
      <c r="N138" s="50"/>
    </row>
    <row r="139" ht="14.25" customHeight="1" spans="1:14">
      <c r="A139" t="s">
        <v>45</v>
      </c>
      <c r="B139" t="s">
        <v>326</v>
      </c>
      <c r="C139" t="s">
        <v>327</v>
      </c>
      <c r="D139" t="s">
        <v>48</v>
      </c>
      <c r="E139" t="s">
        <v>319</v>
      </c>
      <c r="F139" t="s">
        <v>50</v>
      </c>
      <c r="G139" t="s">
        <v>51</v>
      </c>
      <c r="H139" s="78" t="s">
        <v>181</v>
      </c>
      <c r="I139" s="107" t="s">
        <v>53</v>
      </c>
      <c r="J139" s="79" t="s">
        <v>54</v>
      </c>
      <c r="K139" s="80">
        <v>6</v>
      </c>
      <c r="L139" s="81">
        <v>18.38</v>
      </c>
      <c r="M139" s="82">
        <f t="shared" si="2"/>
        <v>110.28</v>
      </c>
      <c r="N139" s="50"/>
    </row>
    <row r="140" ht="14.25" customHeight="1" spans="1:14">
      <c r="A140" t="s">
        <v>45</v>
      </c>
      <c r="B140" t="s">
        <v>328</v>
      </c>
      <c r="C140" t="s">
        <v>329</v>
      </c>
      <c r="D140" t="s">
        <v>48</v>
      </c>
      <c r="E140" t="s">
        <v>319</v>
      </c>
      <c r="F140" t="s">
        <v>330</v>
      </c>
      <c r="G140" t="s">
        <v>51</v>
      </c>
      <c r="H140" s="78" t="s">
        <v>181</v>
      </c>
      <c r="I140" s="107" t="s">
        <v>53</v>
      </c>
      <c r="J140" s="79" t="s">
        <v>54</v>
      </c>
      <c r="K140" s="80">
        <v>3</v>
      </c>
      <c r="L140" s="81">
        <v>17.5</v>
      </c>
      <c r="M140" s="82">
        <f t="shared" si="2"/>
        <v>52.5</v>
      </c>
      <c r="N140" s="50"/>
    </row>
    <row r="141" ht="14.25" customHeight="1" spans="1:14">
      <c r="A141" t="s">
        <v>45</v>
      </c>
      <c r="B141" t="s">
        <v>331</v>
      </c>
      <c r="C141" t="s">
        <v>332</v>
      </c>
      <c r="D141" t="s">
        <v>48</v>
      </c>
      <c r="E141" t="s">
        <v>319</v>
      </c>
      <c r="F141" t="s">
        <v>330</v>
      </c>
      <c r="G141" t="s">
        <v>51</v>
      </c>
      <c r="H141" s="78" t="s">
        <v>181</v>
      </c>
      <c r="I141" s="107" t="s">
        <v>53</v>
      </c>
      <c r="J141" s="79" t="s">
        <v>54</v>
      </c>
      <c r="K141" s="80">
        <v>4</v>
      </c>
      <c r="L141" s="81">
        <v>17.5</v>
      </c>
      <c r="M141" s="82">
        <f t="shared" si="2"/>
        <v>70</v>
      </c>
      <c r="N141" s="50"/>
    </row>
    <row r="142" ht="14.25" customHeight="1" spans="1:14">
      <c r="A142" t="s">
        <v>45</v>
      </c>
      <c r="B142" t="s">
        <v>333</v>
      </c>
      <c r="C142" t="s">
        <v>334</v>
      </c>
      <c r="D142" t="s">
        <v>48</v>
      </c>
      <c r="E142" t="s">
        <v>319</v>
      </c>
      <c r="F142" t="s">
        <v>330</v>
      </c>
      <c r="G142" t="s">
        <v>51</v>
      </c>
      <c r="H142" s="78" t="s">
        <v>181</v>
      </c>
      <c r="I142" s="107" t="s">
        <v>53</v>
      </c>
      <c r="J142" s="79" t="s">
        <v>54</v>
      </c>
      <c r="K142" s="80">
        <v>3</v>
      </c>
      <c r="L142" s="81">
        <v>17.5</v>
      </c>
      <c r="M142" s="82">
        <f t="shared" si="2"/>
        <v>52.5</v>
      </c>
      <c r="N142" s="50"/>
    </row>
    <row r="143" ht="14.25" customHeight="1" spans="1:14">
      <c r="A143" t="s">
        <v>45</v>
      </c>
      <c r="B143" t="s">
        <v>335</v>
      </c>
      <c r="C143" t="s">
        <v>336</v>
      </c>
      <c r="D143" t="s">
        <v>48</v>
      </c>
      <c r="E143" t="s">
        <v>319</v>
      </c>
      <c r="F143" t="s">
        <v>330</v>
      </c>
      <c r="G143" t="s">
        <v>51</v>
      </c>
      <c r="H143" s="78" t="s">
        <v>181</v>
      </c>
      <c r="I143" s="107" t="s">
        <v>53</v>
      </c>
      <c r="J143" s="79" t="s">
        <v>54</v>
      </c>
      <c r="K143" s="80">
        <v>1</v>
      </c>
      <c r="L143" s="81">
        <v>17.5</v>
      </c>
      <c r="M143" s="82">
        <f t="shared" si="2"/>
        <v>17.5</v>
      </c>
      <c r="N143" s="50"/>
    </row>
    <row r="144" ht="14.25" customHeight="1" spans="1:14">
      <c r="A144" t="s">
        <v>45</v>
      </c>
      <c r="B144" t="s">
        <v>337</v>
      </c>
      <c r="C144" t="s">
        <v>338</v>
      </c>
      <c r="D144" t="s">
        <v>48</v>
      </c>
      <c r="E144" t="s">
        <v>339</v>
      </c>
      <c r="F144" t="s">
        <v>132</v>
      </c>
      <c r="G144" t="s">
        <v>123</v>
      </c>
      <c r="H144" s="78" t="s">
        <v>181</v>
      </c>
      <c r="I144" s="107" t="s">
        <v>53</v>
      </c>
      <c r="J144" s="79" t="s">
        <v>54</v>
      </c>
      <c r="K144" s="80">
        <v>6</v>
      </c>
      <c r="L144" s="81">
        <v>16.3</v>
      </c>
      <c r="M144" s="82">
        <f t="shared" ref="M144:M170" si="3">K144*L144</f>
        <v>97.8</v>
      </c>
      <c r="N144" s="50"/>
    </row>
    <row r="145" ht="14.25" customHeight="1" spans="1:14">
      <c r="A145" t="s">
        <v>45</v>
      </c>
      <c r="B145" t="s">
        <v>340</v>
      </c>
      <c r="C145" t="s">
        <v>341</v>
      </c>
      <c r="D145" t="s">
        <v>48</v>
      </c>
      <c r="E145" t="s">
        <v>339</v>
      </c>
      <c r="F145" t="s">
        <v>132</v>
      </c>
      <c r="G145" t="s">
        <v>123</v>
      </c>
      <c r="H145" s="78" t="s">
        <v>181</v>
      </c>
      <c r="I145" s="107" t="s">
        <v>53</v>
      </c>
      <c r="J145" s="79" t="s">
        <v>54</v>
      </c>
      <c r="K145" s="80">
        <v>10</v>
      </c>
      <c r="L145" s="81">
        <v>16.3</v>
      </c>
      <c r="M145" s="82">
        <f t="shared" si="3"/>
        <v>163</v>
      </c>
      <c r="N145" s="50"/>
    </row>
    <row r="146" ht="14.25" customHeight="1" spans="1:14">
      <c r="A146" t="s">
        <v>45</v>
      </c>
      <c r="B146" t="s">
        <v>342</v>
      </c>
      <c r="C146" t="s">
        <v>343</v>
      </c>
      <c r="D146" t="s">
        <v>48</v>
      </c>
      <c r="E146" t="s">
        <v>339</v>
      </c>
      <c r="F146" t="s">
        <v>132</v>
      </c>
      <c r="G146" t="s">
        <v>123</v>
      </c>
      <c r="H146" s="78" t="s">
        <v>181</v>
      </c>
      <c r="I146" s="107" t="s">
        <v>53</v>
      </c>
      <c r="J146" s="79" t="s">
        <v>54</v>
      </c>
      <c r="K146" s="80">
        <v>7</v>
      </c>
      <c r="L146" s="81">
        <v>16.3</v>
      </c>
      <c r="M146" s="82">
        <f t="shared" si="3"/>
        <v>114.1</v>
      </c>
      <c r="N146" s="50"/>
    </row>
    <row r="147" ht="14.25" customHeight="1" spans="1:14">
      <c r="A147" t="s">
        <v>45</v>
      </c>
      <c r="B147" t="s">
        <v>344</v>
      </c>
      <c r="C147" t="s">
        <v>345</v>
      </c>
      <c r="D147" t="s">
        <v>48</v>
      </c>
      <c r="E147" t="s">
        <v>339</v>
      </c>
      <c r="F147" t="s">
        <v>132</v>
      </c>
      <c r="G147" t="s">
        <v>123</v>
      </c>
      <c r="H147" s="78" t="s">
        <v>181</v>
      </c>
      <c r="I147" s="107" t="s">
        <v>53</v>
      </c>
      <c r="J147" s="79" t="s">
        <v>54</v>
      </c>
      <c r="K147" s="80">
        <v>2</v>
      </c>
      <c r="L147" s="81">
        <v>16.3</v>
      </c>
      <c r="M147" s="82">
        <f t="shared" si="3"/>
        <v>32.6</v>
      </c>
      <c r="N147" s="50"/>
    </row>
    <row r="148" ht="14.25" customHeight="1" spans="1:14">
      <c r="A148" t="s">
        <v>45</v>
      </c>
      <c r="B148" t="s">
        <v>346</v>
      </c>
      <c r="C148" t="s">
        <v>347</v>
      </c>
      <c r="D148" t="s">
        <v>48</v>
      </c>
      <c r="E148" t="s">
        <v>339</v>
      </c>
      <c r="F148" t="s">
        <v>132</v>
      </c>
      <c r="G148" t="s">
        <v>123</v>
      </c>
      <c r="H148" s="78" t="s">
        <v>181</v>
      </c>
      <c r="I148" s="107" t="s">
        <v>53</v>
      </c>
      <c r="J148" s="79" t="s">
        <v>54</v>
      </c>
      <c r="K148" s="80">
        <v>3</v>
      </c>
      <c r="L148" s="81">
        <v>16.3</v>
      </c>
      <c r="M148" s="82">
        <f t="shared" si="3"/>
        <v>48.9</v>
      </c>
      <c r="N148" s="50"/>
    </row>
    <row r="149" ht="14.25" customHeight="1" spans="1:14">
      <c r="A149" t="s">
        <v>45</v>
      </c>
      <c r="B149" t="s">
        <v>348</v>
      </c>
      <c r="C149" t="s">
        <v>349</v>
      </c>
      <c r="D149" t="s">
        <v>48</v>
      </c>
      <c r="E149" t="s">
        <v>350</v>
      </c>
      <c r="F149" t="s">
        <v>122</v>
      </c>
      <c r="G149" t="s">
        <v>123</v>
      </c>
      <c r="H149" s="78" t="s">
        <v>181</v>
      </c>
      <c r="I149" s="107" t="s">
        <v>53</v>
      </c>
      <c r="J149" s="79" t="s">
        <v>54</v>
      </c>
      <c r="K149" s="80">
        <v>13</v>
      </c>
      <c r="L149" s="81">
        <v>19.06</v>
      </c>
      <c r="M149" s="82">
        <f t="shared" si="3"/>
        <v>247.78</v>
      </c>
      <c r="N149" s="50"/>
    </row>
    <row r="150" ht="14.25" customHeight="1" spans="1:14">
      <c r="A150" t="s">
        <v>45</v>
      </c>
      <c r="B150" t="s">
        <v>351</v>
      </c>
      <c r="C150" t="s">
        <v>352</v>
      </c>
      <c r="D150" t="s">
        <v>48</v>
      </c>
      <c r="E150" t="s">
        <v>350</v>
      </c>
      <c r="F150" t="s">
        <v>122</v>
      </c>
      <c r="G150" t="s">
        <v>123</v>
      </c>
      <c r="H150" s="78" t="s">
        <v>181</v>
      </c>
      <c r="I150" s="107" t="s">
        <v>53</v>
      </c>
      <c r="J150" s="79" t="s">
        <v>54</v>
      </c>
      <c r="K150" s="80">
        <v>13</v>
      </c>
      <c r="L150" s="81">
        <v>19.06</v>
      </c>
      <c r="M150" s="82">
        <f t="shared" si="3"/>
        <v>247.78</v>
      </c>
      <c r="N150" s="50"/>
    </row>
    <row r="151" ht="14.25" customHeight="1" spans="1:14">
      <c r="A151" t="s">
        <v>45</v>
      </c>
      <c r="B151" t="s">
        <v>353</v>
      </c>
      <c r="C151" t="s">
        <v>354</v>
      </c>
      <c r="D151" t="s">
        <v>48</v>
      </c>
      <c r="E151" t="s">
        <v>350</v>
      </c>
      <c r="F151" t="s">
        <v>122</v>
      </c>
      <c r="G151" t="s">
        <v>123</v>
      </c>
      <c r="H151" s="78" t="s">
        <v>181</v>
      </c>
      <c r="I151" s="107" t="s">
        <v>53</v>
      </c>
      <c r="J151" s="79" t="s">
        <v>54</v>
      </c>
      <c r="K151" s="80">
        <v>13</v>
      </c>
      <c r="L151" s="81">
        <v>19.06</v>
      </c>
      <c r="M151" s="82">
        <f t="shared" si="3"/>
        <v>247.78</v>
      </c>
      <c r="N151" s="50"/>
    </row>
    <row r="152" ht="14.25" customHeight="1" spans="1:14">
      <c r="A152" t="s">
        <v>45</v>
      </c>
      <c r="B152" t="s">
        <v>355</v>
      </c>
      <c r="C152" t="s">
        <v>356</v>
      </c>
      <c r="D152" t="s">
        <v>48</v>
      </c>
      <c r="E152" t="s">
        <v>350</v>
      </c>
      <c r="F152" t="s">
        <v>122</v>
      </c>
      <c r="G152" t="s">
        <v>123</v>
      </c>
      <c r="H152" s="78" t="s">
        <v>181</v>
      </c>
      <c r="I152" s="107" t="s">
        <v>53</v>
      </c>
      <c r="J152" s="79" t="s">
        <v>54</v>
      </c>
      <c r="K152" s="80">
        <v>7</v>
      </c>
      <c r="L152" s="81">
        <v>19.06</v>
      </c>
      <c r="M152" s="82">
        <f t="shared" si="3"/>
        <v>133.42</v>
      </c>
      <c r="N152" s="50"/>
    </row>
    <row r="153" ht="14.25" customHeight="1" spans="1:14">
      <c r="A153" t="s">
        <v>45</v>
      </c>
      <c r="B153" t="s">
        <v>357</v>
      </c>
      <c r="C153" t="s">
        <v>358</v>
      </c>
      <c r="D153" t="s">
        <v>48</v>
      </c>
      <c r="E153" t="s">
        <v>350</v>
      </c>
      <c r="F153" t="s">
        <v>122</v>
      </c>
      <c r="G153" t="s">
        <v>123</v>
      </c>
      <c r="H153" s="78" t="s">
        <v>181</v>
      </c>
      <c r="I153" s="107" t="s">
        <v>53</v>
      </c>
      <c r="J153" s="79" t="s">
        <v>54</v>
      </c>
      <c r="K153" s="80">
        <v>7</v>
      </c>
      <c r="L153" s="81">
        <v>19.06</v>
      </c>
      <c r="M153" s="82">
        <f t="shared" si="3"/>
        <v>133.42</v>
      </c>
      <c r="N153" s="50"/>
    </row>
    <row r="154" ht="14.25" customHeight="1" spans="1:14">
      <c r="A154" t="s">
        <v>45</v>
      </c>
      <c r="B154" t="s">
        <v>359</v>
      </c>
      <c r="C154" t="s">
        <v>360</v>
      </c>
      <c r="D154" t="s">
        <v>48</v>
      </c>
      <c r="E154" t="s">
        <v>350</v>
      </c>
      <c r="F154" t="s">
        <v>132</v>
      </c>
      <c r="G154" t="s">
        <v>123</v>
      </c>
      <c r="H154" s="78" t="s">
        <v>181</v>
      </c>
      <c r="I154" s="107" t="s">
        <v>53</v>
      </c>
      <c r="J154" s="79" t="s">
        <v>54</v>
      </c>
      <c r="K154" s="80">
        <v>2</v>
      </c>
      <c r="L154" s="81">
        <v>19.43</v>
      </c>
      <c r="M154" s="82">
        <f t="shared" si="3"/>
        <v>38.86</v>
      </c>
      <c r="N154" s="50"/>
    </row>
    <row r="155" ht="14.25" customHeight="1" spans="1:14">
      <c r="A155" t="s">
        <v>45</v>
      </c>
      <c r="B155" t="s">
        <v>361</v>
      </c>
      <c r="C155" t="s">
        <v>362</v>
      </c>
      <c r="D155" t="s">
        <v>48</v>
      </c>
      <c r="E155" t="s">
        <v>350</v>
      </c>
      <c r="F155" t="s">
        <v>132</v>
      </c>
      <c r="G155" t="s">
        <v>123</v>
      </c>
      <c r="H155" s="78" t="s">
        <v>181</v>
      </c>
      <c r="I155" s="107" t="s">
        <v>53</v>
      </c>
      <c r="J155" s="79" t="s">
        <v>54</v>
      </c>
      <c r="K155" s="80">
        <v>2</v>
      </c>
      <c r="L155" s="81">
        <v>19.43</v>
      </c>
      <c r="M155" s="82">
        <f t="shared" si="3"/>
        <v>38.86</v>
      </c>
      <c r="N155" s="50"/>
    </row>
    <row r="156" ht="14.25" customHeight="1" spans="1:14">
      <c r="A156" t="s">
        <v>45</v>
      </c>
      <c r="B156" t="s">
        <v>363</v>
      </c>
      <c r="C156" t="s">
        <v>364</v>
      </c>
      <c r="D156" t="s">
        <v>48</v>
      </c>
      <c r="E156" t="s">
        <v>350</v>
      </c>
      <c r="F156" t="s">
        <v>132</v>
      </c>
      <c r="G156" t="s">
        <v>123</v>
      </c>
      <c r="H156" s="78" t="s">
        <v>181</v>
      </c>
      <c r="I156" s="107" t="s">
        <v>53</v>
      </c>
      <c r="J156" s="79" t="s">
        <v>54</v>
      </c>
      <c r="K156" s="80">
        <v>2</v>
      </c>
      <c r="L156" s="81">
        <v>19.43</v>
      </c>
      <c r="M156" s="82">
        <f t="shared" si="3"/>
        <v>38.86</v>
      </c>
      <c r="N156" s="50"/>
    </row>
    <row r="157" ht="14.25" customHeight="1" spans="1:14">
      <c r="A157" t="s">
        <v>45</v>
      </c>
      <c r="B157" t="s">
        <v>365</v>
      </c>
      <c r="C157" t="s">
        <v>366</v>
      </c>
      <c r="D157" t="s">
        <v>48</v>
      </c>
      <c r="E157" t="s">
        <v>350</v>
      </c>
      <c r="F157" t="s">
        <v>132</v>
      </c>
      <c r="G157" t="s">
        <v>123</v>
      </c>
      <c r="H157" s="78" t="s">
        <v>181</v>
      </c>
      <c r="I157" s="107" t="s">
        <v>53</v>
      </c>
      <c r="J157" s="79" t="s">
        <v>54</v>
      </c>
      <c r="K157" s="80">
        <v>2</v>
      </c>
      <c r="L157" s="81">
        <v>19.43</v>
      </c>
      <c r="M157" s="82">
        <f t="shared" si="3"/>
        <v>38.86</v>
      </c>
      <c r="N157" s="50"/>
    </row>
    <row r="158" ht="14.25" customHeight="1" spans="1:14">
      <c r="A158" t="s">
        <v>45</v>
      </c>
      <c r="B158" t="s">
        <v>367</v>
      </c>
      <c r="C158" t="s">
        <v>368</v>
      </c>
      <c r="D158" t="s">
        <v>48</v>
      </c>
      <c r="E158" t="s">
        <v>350</v>
      </c>
      <c r="F158" t="s">
        <v>132</v>
      </c>
      <c r="G158" t="s">
        <v>123</v>
      </c>
      <c r="H158" s="78" t="s">
        <v>181</v>
      </c>
      <c r="I158" s="107" t="s">
        <v>53</v>
      </c>
      <c r="J158" s="79" t="s">
        <v>54</v>
      </c>
      <c r="K158" s="80">
        <v>1</v>
      </c>
      <c r="L158" s="81">
        <v>19.43</v>
      </c>
      <c r="M158" s="82">
        <f t="shared" si="3"/>
        <v>19.43</v>
      </c>
      <c r="N158" s="50"/>
    </row>
    <row r="159" ht="14.25" customHeight="1" spans="1:14">
      <c r="A159" t="s">
        <v>45</v>
      </c>
      <c r="B159" t="s">
        <v>369</v>
      </c>
      <c r="C159" t="s">
        <v>370</v>
      </c>
      <c r="D159" t="s">
        <v>48</v>
      </c>
      <c r="E159" t="s">
        <v>350</v>
      </c>
      <c r="F159" t="s">
        <v>371</v>
      </c>
      <c r="G159" t="s">
        <v>123</v>
      </c>
      <c r="H159" s="78" t="s">
        <v>181</v>
      </c>
      <c r="I159" s="107" t="s">
        <v>53</v>
      </c>
      <c r="J159" s="79" t="s">
        <v>54</v>
      </c>
      <c r="K159" s="80">
        <v>2</v>
      </c>
      <c r="L159" s="81">
        <v>18.5</v>
      </c>
      <c r="M159" s="82">
        <f t="shared" si="3"/>
        <v>37</v>
      </c>
      <c r="N159" s="50"/>
    </row>
    <row r="160" ht="14.25" customHeight="1" spans="1:14">
      <c r="A160" t="s">
        <v>45</v>
      </c>
      <c r="B160" t="s">
        <v>372</v>
      </c>
      <c r="C160" t="s">
        <v>373</v>
      </c>
      <c r="D160" t="s">
        <v>48</v>
      </c>
      <c r="E160" t="s">
        <v>350</v>
      </c>
      <c r="F160" t="s">
        <v>371</v>
      </c>
      <c r="G160" t="s">
        <v>123</v>
      </c>
      <c r="H160" s="78" t="s">
        <v>181</v>
      </c>
      <c r="I160" s="107" t="s">
        <v>53</v>
      </c>
      <c r="J160" s="79" t="s">
        <v>54</v>
      </c>
      <c r="K160" s="80">
        <v>3</v>
      </c>
      <c r="L160" s="81">
        <v>18.5</v>
      </c>
      <c r="M160" s="82">
        <f t="shared" si="3"/>
        <v>55.5</v>
      </c>
      <c r="N160" s="50"/>
    </row>
    <row r="161" ht="14.25" customHeight="1" spans="1:14">
      <c r="A161" t="s">
        <v>45</v>
      </c>
      <c r="B161" t="s">
        <v>374</v>
      </c>
      <c r="C161" t="s">
        <v>375</v>
      </c>
      <c r="D161" t="s">
        <v>48</v>
      </c>
      <c r="E161" t="s">
        <v>350</v>
      </c>
      <c r="F161" t="s">
        <v>371</v>
      </c>
      <c r="G161" t="s">
        <v>123</v>
      </c>
      <c r="H161" s="78" t="s">
        <v>181</v>
      </c>
      <c r="I161" s="107" t="s">
        <v>53</v>
      </c>
      <c r="J161" s="79" t="s">
        <v>54</v>
      </c>
      <c r="K161" s="80">
        <v>3</v>
      </c>
      <c r="L161" s="81">
        <v>18.5</v>
      </c>
      <c r="M161" s="82">
        <f t="shared" si="3"/>
        <v>55.5</v>
      </c>
      <c r="N161" s="50"/>
    </row>
    <row r="162" ht="14.25" customHeight="1" spans="1:14">
      <c r="A162" t="s">
        <v>45</v>
      </c>
      <c r="B162" t="s">
        <v>376</v>
      </c>
      <c r="C162" t="s">
        <v>377</v>
      </c>
      <c r="D162" t="s">
        <v>48</v>
      </c>
      <c r="E162" t="s">
        <v>350</v>
      </c>
      <c r="F162" t="s">
        <v>371</v>
      </c>
      <c r="G162" t="s">
        <v>123</v>
      </c>
      <c r="H162" s="78" t="s">
        <v>181</v>
      </c>
      <c r="I162" s="107" t="s">
        <v>53</v>
      </c>
      <c r="J162" s="79" t="s">
        <v>54</v>
      </c>
      <c r="K162" s="80">
        <v>2</v>
      </c>
      <c r="L162" s="81">
        <v>18.5</v>
      </c>
      <c r="M162" s="82">
        <f t="shared" si="3"/>
        <v>37</v>
      </c>
      <c r="N162" s="50"/>
    </row>
    <row r="163" ht="14.25" customHeight="1" spans="1:14">
      <c r="A163" t="s">
        <v>45</v>
      </c>
      <c r="B163" t="s">
        <v>378</v>
      </c>
      <c r="C163" t="s">
        <v>379</v>
      </c>
      <c r="D163" t="s">
        <v>48</v>
      </c>
      <c r="E163" t="s">
        <v>350</v>
      </c>
      <c r="F163" t="s">
        <v>371</v>
      </c>
      <c r="G163" t="s">
        <v>123</v>
      </c>
      <c r="H163" s="78" t="s">
        <v>181</v>
      </c>
      <c r="I163" s="107" t="s">
        <v>53</v>
      </c>
      <c r="J163" s="79" t="s">
        <v>54</v>
      </c>
      <c r="K163" s="80">
        <v>3</v>
      </c>
      <c r="L163" s="81">
        <v>18.5</v>
      </c>
      <c r="M163" s="82">
        <f t="shared" si="3"/>
        <v>55.5</v>
      </c>
      <c r="N163" s="50"/>
    </row>
    <row r="164" ht="14.25" customHeight="1" spans="1:14">
      <c r="A164" t="s">
        <v>45</v>
      </c>
      <c r="B164" t="s">
        <v>380</v>
      </c>
      <c r="C164" t="s">
        <v>381</v>
      </c>
      <c r="D164" t="s">
        <v>48</v>
      </c>
      <c r="E164" t="s">
        <v>382</v>
      </c>
      <c r="F164" t="s">
        <v>383</v>
      </c>
      <c r="G164" t="s">
        <v>51</v>
      </c>
      <c r="H164" s="78" t="s">
        <v>181</v>
      </c>
      <c r="I164" s="107" t="s">
        <v>53</v>
      </c>
      <c r="J164" s="79" t="s">
        <v>54</v>
      </c>
      <c r="K164" s="80">
        <v>2</v>
      </c>
      <c r="L164" s="81">
        <v>14.18</v>
      </c>
      <c r="M164" s="82">
        <f t="shared" si="3"/>
        <v>28.36</v>
      </c>
      <c r="N164" s="50"/>
    </row>
    <row r="165" ht="14.25" customHeight="1" spans="1:14">
      <c r="A165" t="s">
        <v>45</v>
      </c>
      <c r="B165" t="s">
        <v>384</v>
      </c>
      <c r="C165" t="s">
        <v>385</v>
      </c>
      <c r="D165" t="s">
        <v>48</v>
      </c>
      <c r="E165" t="s">
        <v>382</v>
      </c>
      <c r="F165" t="s">
        <v>383</v>
      </c>
      <c r="G165" t="s">
        <v>51</v>
      </c>
      <c r="H165" s="78" t="s">
        <v>181</v>
      </c>
      <c r="I165" s="107" t="s">
        <v>53</v>
      </c>
      <c r="J165" s="79" t="s">
        <v>54</v>
      </c>
      <c r="K165" s="80">
        <v>2</v>
      </c>
      <c r="L165" s="81">
        <v>14.18</v>
      </c>
      <c r="M165" s="82">
        <f t="shared" si="3"/>
        <v>28.36</v>
      </c>
      <c r="N165" s="50"/>
    </row>
    <row r="166" ht="14.25" customHeight="1" spans="1:14">
      <c r="A166" t="s">
        <v>45</v>
      </c>
      <c r="B166" t="s">
        <v>386</v>
      </c>
      <c r="C166" t="s">
        <v>387</v>
      </c>
      <c r="D166" t="s">
        <v>48</v>
      </c>
      <c r="E166" t="s">
        <v>382</v>
      </c>
      <c r="F166" t="s">
        <v>383</v>
      </c>
      <c r="G166" t="s">
        <v>51</v>
      </c>
      <c r="H166" s="78" t="s">
        <v>181</v>
      </c>
      <c r="I166" s="107" t="s">
        <v>53</v>
      </c>
      <c r="J166" s="79" t="s">
        <v>54</v>
      </c>
      <c r="K166" s="80">
        <v>2</v>
      </c>
      <c r="L166" s="81">
        <v>14.18</v>
      </c>
      <c r="M166" s="82">
        <f t="shared" si="3"/>
        <v>28.36</v>
      </c>
      <c r="N166" s="50"/>
    </row>
    <row r="167" ht="14.25" customHeight="1" spans="1:14">
      <c r="A167" t="s">
        <v>45</v>
      </c>
      <c r="B167" t="s">
        <v>388</v>
      </c>
      <c r="C167" t="s">
        <v>389</v>
      </c>
      <c r="D167" t="s">
        <v>48</v>
      </c>
      <c r="E167" t="s">
        <v>382</v>
      </c>
      <c r="F167" t="s">
        <v>383</v>
      </c>
      <c r="G167" t="s">
        <v>51</v>
      </c>
      <c r="H167" s="78" t="s">
        <v>181</v>
      </c>
      <c r="I167" s="107" t="s">
        <v>53</v>
      </c>
      <c r="J167" s="79" t="s">
        <v>54</v>
      </c>
      <c r="K167" s="80">
        <v>2</v>
      </c>
      <c r="L167" s="81">
        <v>14.18</v>
      </c>
      <c r="M167" s="82">
        <f t="shared" si="3"/>
        <v>28.36</v>
      </c>
      <c r="N167" s="50"/>
    </row>
    <row r="168" ht="14.25" customHeight="1" spans="1:14">
      <c r="A168" t="s">
        <v>45</v>
      </c>
      <c r="B168" t="s">
        <v>390</v>
      </c>
      <c r="C168" t="s">
        <v>391</v>
      </c>
      <c r="D168" t="s">
        <v>48</v>
      </c>
      <c r="E168" t="s">
        <v>382</v>
      </c>
      <c r="F168" t="s">
        <v>383</v>
      </c>
      <c r="G168" t="s">
        <v>51</v>
      </c>
      <c r="H168" s="78" t="s">
        <v>181</v>
      </c>
      <c r="I168" s="107" t="s">
        <v>53</v>
      </c>
      <c r="J168" s="79" t="s">
        <v>54</v>
      </c>
      <c r="K168" s="80">
        <v>2</v>
      </c>
      <c r="L168" s="81">
        <v>14.18</v>
      </c>
      <c r="M168" s="82">
        <f t="shared" si="3"/>
        <v>28.36</v>
      </c>
      <c r="N168" s="50"/>
    </row>
    <row r="169" ht="14.25" customHeight="1" spans="1:14">
      <c r="A169" t="s">
        <v>45</v>
      </c>
      <c r="B169" t="s">
        <v>392</v>
      </c>
      <c r="C169" t="s">
        <v>393</v>
      </c>
      <c r="D169" t="s">
        <v>48</v>
      </c>
      <c r="E169" t="s">
        <v>382</v>
      </c>
      <c r="F169" t="s">
        <v>394</v>
      </c>
      <c r="G169" t="s">
        <v>51</v>
      </c>
      <c r="H169" s="78" t="s">
        <v>181</v>
      </c>
      <c r="I169" s="107" t="s">
        <v>53</v>
      </c>
      <c r="J169" s="79" t="s">
        <v>54</v>
      </c>
      <c r="K169" s="80">
        <v>10</v>
      </c>
      <c r="L169" s="81">
        <v>13.5</v>
      </c>
      <c r="M169" s="82">
        <f t="shared" si="3"/>
        <v>135</v>
      </c>
      <c r="N169" s="50"/>
    </row>
    <row r="170" ht="14.25" customHeight="1" spans="1:14">
      <c r="A170" t="s">
        <v>45</v>
      </c>
      <c r="B170" t="s">
        <v>395</v>
      </c>
      <c r="C170" t="s">
        <v>396</v>
      </c>
      <c r="D170" t="s">
        <v>48</v>
      </c>
      <c r="E170" t="s">
        <v>382</v>
      </c>
      <c r="F170" t="s">
        <v>394</v>
      </c>
      <c r="G170" t="s">
        <v>51</v>
      </c>
      <c r="H170" s="78" t="s">
        <v>181</v>
      </c>
      <c r="I170" s="107" t="s">
        <v>53</v>
      </c>
      <c r="J170" s="79" t="s">
        <v>54</v>
      </c>
      <c r="K170" s="80">
        <v>10</v>
      </c>
      <c r="L170" s="81">
        <v>13.5</v>
      </c>
      <c r="M170" s="82">
        <f t="shared" si="3"/>
        <v>135</v>
      </c>
      <c r="N170" s="50"/>
    </row>
    <row r="171" ht="14.25" customHeight="1" spans="1:14">
      <c r="A171" t="s">
        <v>45</v>
      </c>
      <c r="B171" t="s">
        <v>397</v>
      </c>
      <c r="C171" t="s">
        <v>398</v>
      </c>
      <c r="D171" t="s">
        <v>48</v>
      </c>
      <c r="E171" t="s">
        <v>382</v>
      </c>
      <c r="F171" t="s">
        <v>394</v>
      </c>
      <c r="G171" t="s">
        <v>51</v>
      </c>
      <c r="H171" s="78" t="s">
        <v>181</v>
      </c>
      <c r="I171" s="107" t="s">
        <v>53</v>
      </c>
      <c r="J171" s="79" t="s">
        <v>54</v>
      </c>
      <c r="K171" s="80">
        <v>6</v>
      </c>
      <c r="L171" s="81">
        <v>13.5</v>
      </c>
      <c r="M171" s="82">
        <f t="shared" ref="M171:M188" si="4">K171*L171</f>
        <v>81</v>
      </c>
      <c r="N171" s="50"/>
    </row>
    <row r="172" ht="14.25" customHeight="1" spans="1:14">
      <c r="A172" t="s">
        <v>45</v>
      </c>
      <c r="B172" t="s">
        <v>399</v>
      </c>
      <c r="C172" t="s">
        <v>400</v>
      </c>
      <c r="D172" t="s">
        <v>48</v>
      </c>
      <c r="E172" t="s">
        <v>382</v>
      </c>
      <c r="F172" t="s">
        <v>394</v>
      </c>
      <c r="G172" t="s">
        <v>51</v>
      </c>
      <c r="H172" s="78" t="s">
        <v>181</v>
      </c>
      <c r="I172" s="107" t="s">
        <v>53</v>
      </c>
      <c r="J172" s="79" t="s">
        <v>54</v>
      </c>
      <c r="K172" s="80">
        <v>2</v>
      </c>
      <c r="L172" s="81">
        <v>13.5</v>
      </c>
      <c r="M172" s="82">
        <f t="shared" si="4"/>
        <v>27</v>
      </c>
      <c r="N172" s="50"/>
    </row>
    <row r="173" ht="14.25" customHeight="1" spans="1:14">
      <c r="A173" t="s">
        <v>45</v>
      </c>
      <c r="B173" t="s">
        <v>401</v>
      </c>
      <c r="C173" t="s">
        <v>402</v>
      </c>
      <c r="D173" t="s">
        <v>48</v>
      </c>
      <c r="E173" t="s">
        <v>382</v>
      </c>
      <c r="F173" t="s">
        <v>394</v>
      </c>
      <c r="G173" t="s">
        <v>51</v>
      </c>
      <c r="H173" s="78" t="s">
        <v>181</v>
      </c>
      <c r="I173" s="107" t="s">
        <v>53</v>
      </c>
      <c r="J173" s="79" t="s">
        <v>54</v>
      </c>
      <c r="K173" s="80">
        <v>4</v>
      </c>
      <c r="L173" s="81">
        <v>13.5</v>
      </c>
      <c r="M173" s="82">
        <f t="shared" si="4"/>
        <v>54</v>
      </c>
      <c r="N173" s="50"/>
    </row>
    <row r="174" ht="14.25" customHeight="1" spans="1:14">
      <c r="A174" t="s">
        <v>45</v>
      </c>
      <c r="B174" t="s">
        <v>403</v>
      </c>
      <c r="C174" t="s">
        <v>404</v>
      </c>
      <c r="D174" t="s">
        <v>48</v>
      </c>
      <c r="E174" t="s">
        <v>405</v>
      </c>
      <c r="F174" t="s">
        <v>406</v>
      </c>
      <c r="G174" t="s">
        <v>257</v>
      </c>
      <c r="H174" s="78" t="s">
        <v>181</v>
      </c>
      <c r="I174" s="107" t="s">
        <v>53</v>
      </c>
      <c r="J174" s="79" t="s">
        <v>54</v>
      </c>
      <c r="K174" s="80">
        <v>2</v>
      </c>
      <c r="L174" s="81">
        <v>15.75</v>
      </c>
      <c r="M174" s="82">
        <f t="shared" si="4"/>
        <v>31.5</v>
      </c>
      <c r="N174" s="50"/>
    </row>
    <row r="175" ht="14.25" customHeight="1" spans="1:14">
      <c r="A175" t="s">
        <v>45</v>
      </c>
      <c r="B175" t="s">
        <v>407</v>
      </c>
      <c r="C175" t="s">
        <v>408</v>
      </c>
      <c r="D175" t="s">
        <v>48</v>
      </c>
      <c r="E175" t="s">
        <v>405</v>
      </c>
      <c r="F175" t="s">
        <v>406</v>
      </c>
      <c r="G175" t="s">
        <v>257</v>
      </c>
      <c r="H175" s="78" t="s">
        <v>181</v>
      </c>
      <c r="I175" s="107" t="s">
        <v>53</v>
      </c>
      <c r="J175" s="79" t="s">
        <v>54</v>
      </c>
      <c r="K175" s="80">
        <v>3</v>
      </c>
      <c r="L175" s="81">
        <v>15.75</v>
      </c>
      <c r="M175" s="82">
        <f t="shared" si="4"/>
        <v>47.25</v>
      </c>
      <c r="N175" s="50"/>
    </row>
    <row r="176" ht="14.25" customHeight="1" spans="1:14">
      <c r="A176" t="s">
        <v>45</v>
      </c>
      <c r="B176" t="s">
        <v>409</v>
      </c>
      <c r="C176" t="s">
        <v>410</v>
      </c>
      <c r="D176" t="s">
        <v>48</v>
      </c>
      <c r="E176" t="s">
        <v>405</v>
      </c>
      <c r="F176" t="s">
        <v>406</v>
      </c>
      <c r="G176" t="s">
        <v>257</v>
      </c>
      <c r="H176" s="78" t="s">
        <v>181</v>
      </c>
      <c r="I176" s="107" t="s">
        <v>53</v>
      </c>
      <c r="J176" s="79" t="s">
        <v>54</v>
      </c>
      <c r="K176" s="80">
        <v>2</v>
      </c>
      <c r="L176" s="81">
        <v>15.75</v>
      </c>
      <c r="M176" s="82">
        <f t="shared" si="4"/>
        <v>31.5</v>
      </c>
      <c r="N176" s="50"/>
    </row>
    <row r="177" ht="14.25" customHeight="1" spans="1:14">
      <c r="A177" t="s">
        <v>45</v>
      </c>
      <c r="B177" t="s">
        <v>411</v>
      </c>
      <c r="C177" t="s">
        <v>412</v>
      </c>
      <c r="D177" t="s">
        <v>48</v>
      </c>
      <c r="E177" t="s">
        <v>405</v>
      </c>
      <c r="F177" t="s">
        <v>406</v>
      </c>
      <c r="G177" t="s">
        <v>257</v>
      </c>
      <c r="H177" s="78" t="s">
        <v>181</v>
      </c>
      <c r="I177" s="107" t="s">
        <v>53</v>
      </c>
      <c r="J177" s="79" t="s">
        <v>54</v>
      </c>
      <c r="K177" s="80">
        <v>2</v>
      </c>
      <c r="L177" s="81">
        <v>15.75</v>
      </c>
      <c r="M177" s="82">
        <f t="shared" si="4"/>
        <v>31.5</v>
      </c>
      <c r="N177" s="50"/>
    </row>
    <row r="178" ht="14.25" customHeight="1" spans="1:14">
      <c r="A178" t="s">
        <v>45</v>
      </c>
      <c r="B178" t="s">
        <v>413</v>
      </c>
      <c r="C178" t="s">
        <v>414</v>
      </c>
      <c r="D178" t="s">
        <v>48</v>
      </c>
      <c r="E178" t="s">
        <v>405</v>
      </c>
      <c r="F178" t="s">
        <v>406</v>
      </c>
      <c r="G178" t="s">
        <v>257</v>
      </c>
      <c r="H178" s="78" t="s">
        <v>181</v>
      </c>
      <c r="I178" s="107" t="s">
        <v>53</v>
      </c>
      <c r="J178" s="79" t="s">
        <v>54</v>
      </c>
      <c r="K178" s="80">
        <v>2</v>
      </c>
      <c r="L178" s="81">
        <v>15.75</v>
      </c>
      <c r="M178" s="82">
        <f t="shared" si="4"/>
        <v>31.5</v>
      </c>
      <c r="N178" s="50"/>
    </row>
    <row r="179" ht="14.25" customHeight="1" spans="1:14">
      <c r="A179" t="s">
        <v>45</v>
      </c>
      <c r="B179" t="s">
        <v>415</v>
      </c>
      <c r="C179" t="s">
        <v>416</v>
      </c>
      <c r="D179" t="s">
        <v>48</v>
      </c>
      <c r="E179" t="s">
        <v>405</v>
      </c>
      <c r="F179" t="s">
        <v>132</v>
      </c>
      <c r="G179" t="s">
        <v>257</v>
      </c>
      <c r="H179" s="78" t="s">
        <v>181</v>
      </c>
      <c r="I179" s="107" t="s">
        <v>53</v>
      </c>
      <c r="J179" s="79" t="s">
        <v>54</v>
      </c>
      <c r="K179" s="80">
        <v>2</v>
      </c>
      <c r="L179" s="81">
        <v>15.75</v>
      </c>
      <c r="M179" s="82">
        <f t="shared" si="4"/>
        <v>31.5</v>
      </c>
      <c r="N179" s="50"/>
    </row>
    <row r="180" ht="14.25" customHeight="1" spans="1:14">
      <c r="A180" t="s">
        <v>45</v>
      </c>
      <c r="B180" t="s">
        <v>417</v>
      </c>
      <c r="C180" t="s">
        <v>418</v>
      </c>
      <c r="D180" t="s">
        <v>48</v>
      </c>
      <c r="E180" t="s">
        <v>405</v>
      </c>
      <c r="F180" t="s">
        <v>132</v>
      </c>
      <c r="G180" t="s">
        <v>257</v>
      </c>
      <c r="H180" s="78" t="s">
        <v>181</v>
      </c>
      <c r="I180" s="107" t="s">
        <v>53</v>
      </c>
      <c r="J180" s="79" t="s">
        <v>54</v>
      </c>
      <c r="K180" s="80">
        <v>3</v>
      </c>
      <c r="L180" s="81">
        <v>15.75</v>
      </c>
      <c r="M180" s="82">
        <f t="shared" si="4"/>
        <v>47.25</v>
      </c>
      <c r="N180" s="50"/>
    </row>
    <row r="181" ht="14.25" customHeight="1" spans="1:14">
      <c r="A181" t="s">
        <v>45</v>
      </c>
      <c r="B181" t="s">
        <v>419</v>
      </c>
      <c r="C181" t="s">
        <v>420</v>
      </c>
      <c r="D181" t="s">
        <v>48</v>
      </c>
      <c r="E181" t="s">
        <v>405</v>
      </c>
      <c r="F181" t="s">
        <v>132</v>
      </c>
      <c r="G181" t="s">
        <v>257</v>
      </c>
      <c r="H181" s="78" t="s">
        <v>181</v>
      </c>
      <c r="I181" s="107" t="s">
        <v>53</v>
      </c>
      <c r="J181" s="79" t="s">
        <v>54</v>
      </c>
      <c r="K181" s="80">
        <v>2</v>
      </c>
      <c r="L181" s="81">
        <v>15.75</v>
      </c>
      <c r="M181" s="82">
        <f t="shared" si="4"/>
        <v>31.5</v>
      </c>
      <c r="N181" s="50"/>
    </row>
    <row r="182" ht="14.25" customHeight="1" spans="1:14">
      <c r="A182" t="s">
        <v>45</v>
      </c>
      <c r="B182" t="s">
        <v>421</v>
      </c>
      <c r="C182" t="s">
        <v>422</v>
      </c>
      <c r="D182" t="s">
        <v>48</v>
      </c>
      <c r="E182" t="s">
        <v>405</v>
      </c>
      <c r="F182" t="s">
        <v>132</v>
      </c>
      <c r="G182" t="s">
        <v>257</v>
      </c>
      <c r="H182" s="78" t="s">
        <v>181</v>
      </c>
      <c r="I182" s="107" t="s">
        <v>53</v>
      </c>
      <c r="J182" s="79" t="s">
        <v>54</v>
      </c>
      <c r="K182" s="80">
        <v>2</v>
      </c>
      <c r="L182" s="81">
        <v>15.75</v>
      </c>
      <c r="M182" s="82">
        <f t="shared" si="4"/>
        <v>31.5</v>
      </c>
      <c r="N182" s="50"/>
    </row>
    <row r="183" ht="14.25" customHeight="1" spans="1:14">
      <c r="A183" t="s">
        <v>45</v>
      </c>
      <c r="B183" t="s">
        <v>423</v>
      </c>
      <c r="C183" t="s">
        <v>424</v>
      </c>
      <c r="D183" t="s">
        <v>48</v>
      </c>
      <c r="E183" t="s">
        <v>405</v>
      </c>
      <c r="F183" t="s">
        <v>132</v>
      </c>
      <c r="G183" t="s">
        <v>257</v>
      </c>
      <c r="H183" s="78" t="s">
        <v>181</v>
      </c>
      <c r="I183" s="107" t="s">
        <v>53</v>
      </c>
      <c r="J183" s="79" t="s">
        <v>54</v>
      </c>
      <c r="K183" s="80">
        <v>2</v>
      </c>
      <c r="L183" s="81">
        <v>15.75</v>
      </c>
      <c r="M183" s="82">
        <f t="shared" si="4"/>
        <v>31.5</v>
      </c>
      <c r="N183" s="50"/>
    </row>
    <row r="184" ht="14.25" customHeight="1" spans="1:14">
      <c r="A184" t="s">
        <v>45</v>
      </c>
      <c r="B184" t="s">
        <v>425</v>
      </c>
      <c r="C184" t="s">
        <v>426</v>
      </c>
      <c r="D184" t="s">
        <v>48</v>
      </c>
      <c r="E184" t="s">
        <v>405</v>
      </c>
      <c r="F184" t="s">
        <v>249</v>
      </c>
      <c r="G184" t="s">
        <v>257</v>
      </c>
      <c r="H184" s="78" t="s">
        <v>181</v>
      </c>
      <c r="I184" s="107" t="s">
        <v>53</v>
      </c>
      <c r="J184" s="79" t="s">
        <v>54</v>
      </c>
      <c r="K184" s="80">
        <v>3</v>
      </c>
      <c r="L184" s="81">
        <v>15</v>
      </c>
      <c r="M184" s="82">
        <f t="shared" si="4"/>
        <v>45</v>
      </c>
      <c r="N184" s="50"/>
    </row>
    <row r="185" ht="14.25" customHeight="1" spans="1:14">
      <c r="A185" t="s">
        <v>45</v>
      </c>
      <c r="B185" t="s">
        <v>427</v>
      </c>
      <c r="C185" t="s">
        <v>428</v>
      </c>
      <c r="D185" t="s">
        <v>48</v>
      </c>
      <c r="E185" t="s">
        <v>405</v>
      </c>
      <c r="F185" t="s">
        <v>249</v>
      </c>
      <c r="G185" t="s">
        <v>257</v>
      </c>
      <c r="H185" s="78" t="s">
        <v>181</v>
      </c>
      <c r="I185" s="107" t="s">
        <v>53</v>
      </c>
      <c r="J185" s="79" t="s">
        <v>54</v>
      </c>
      <c r="K185" s="80">
        <v>5</v>
      </c>
      <c r="L185" s="81">
        <v>15</v>
      </c>
      <c r="M185" s="82">
        <f t="shared" si="4"/>
        <v>75</v>
      </c>
      <c r="N185" s="50"/>
    </row>
    <row r="186" ht="14.25" customHeight="1" spans="1:14">
      <c r="A186" t="s">
        <v>45</v>
      </c>
      <c r="B186" t="s">
        <v>429</v>
      </c>
      <c r="C186" t="s">
        <v>430</v>
      </c>
      <c r="D186" t="s">
        <v>48</v>
      </c>
      <c r="E186" t="s">
        <v>405</v>
      </c>
      <c r="F186" t="s">
        <v>249</v>
      </c>
      <c r="G186" t="s">
        <v>257</v>
      </c>
      <c r="H186" s="78" t="s">
        <v>181</v>
      </c>
      <c r="I186" s="107" t="s">
        <v>53</v>
      </c>
      <c r="J186" s="79" t="s">
        <v>54</v>
      </c>
      <c r="K186" s="80">
        <v>3</v>
      </c>
      <c r="L186" s="81">
        <v>15</v>
      </c>
      <c r="M186" s="82">
        <f t="shared" si="4"/>
        <v>45</v>
      </c>
      <c r="N186" s="50"/>
    </row>
    <row r="187" ht="14.25" customHeight="1" spans="1:14">
      <c r="A187" t="s">
        <v>45</v>
      </c>
      <c r="B187" t="s">
        <v>431</v>
      </c>
      <c r="C187" t="s">
        <v>432</v>
      </c>
      <c r="D187" t="s">
        <v>48</v>
      </c>
      <c r="E187" t="s">
        <v>405</v>
      </c>
      <c r="F187" t="s">
        <v>249</v>
      </c>
      <c r="G187" t="s">
        <v>257</v>
      </c>
      <c r="H187" s="78" t="s">
        <v>181</v>
      </c>
      <c r="I187" s="107" t="s">
        <v>53</v>
      </c>
      <c r="J187" s="79" t="s">
        <v>54</v>
      </c>
      <c r="K187" s="80">
        <v>2</v>
      </c>
      <c r="L187" s="81">
        <v>15</v>
      </c>
      <c r="M187" s="82">
        <f t="shared" si="4"/>
        <v>30</v>
      </c>
      <c r="N187" s="50"/>
    </row>
    <row r="188" ht="14.25" customHeight="1" spans="1:14">
      <c r="A188" t="s">
        <v>45</v>
      </c>
      <c r="B188" t="s">
        <v>433</v>
      </c>
      <c r="C188" t="s">
        <v>434</v>
      </c>
      <c r="D188" t="s">
        <v>48</v>
      </c>
      <c r="E188" t="s">
        <v>405</v>
      </c>
      <c r="F188" t="s">
        <v>249</v>
      </c>
      <c r="G188" t="s">
        <v>257</v>
      </c>
      <c r="H188" s="78" t="s">
        <v>181</v>
      </c>
      <c r="I188" s="107" t="s">
        <v>53</v>
      </c>
      <c r="J188" s="79" t="s">
        <v>54</v>
      </c>
      <c r="K188" s="80">
        <v>2</v>
      </c>
      <c r="L188" s="81">
        <v>15</v>
      </c>
      <c r="M188" s="82">
        <f t="shared" si="4"/>
        <v>30</v>
      </c>
      <c r="N188" s="50"/>
    </row>
    <row r="189" ht="14.25" customHeight="1" spans="1:14">
      <c r="H189" s="78"/>
      <c r="I189" s="78"/>
      <c r="J189" s="79"/>
      <c r="L189" s="81"/>
      <c r="M189" s="82"/>
      <c r="N189" s="50"/>
    </row>
    <row r="190" ht="14.25" customHeight="1" spans="1:14">
      <c r="H190" s="78"/>
      <c r="I190" s="78"/>
      <c r="J190" s="79"/>
      <c r="L190" s="81"/>
      <c r="M190" s="82"/>
      <c r="N190" s="50"/>
    </row>
    <row r="191" ht="14.25" customHeight="1" spans="1:14">
      <c r="G191" s="78"/>
      <c r="H191" s="78"/>
      <c r="J191" s="79"/>
      <c r="K191" s="70"/>
      <c r="L191" s="83"/>
      <c r="M191" s="82"/>
      <c r="N191" s="50"/>
    </row>
    <row r="192" ht="14.25" customHeight="1" spans="1:14">
      <c r="G192" s="78"/>
      <c r="H192" s="78"/>
      <c r="J192" s="79"/>
      <c r="K192" s="70"/>
      <c r="L192" s="83"/>
      <c r="M192" s="82"/>
      <c r="N192" s="50"/>
    </row>
    <row r="193" ht="14.25" customHeight="1" spans="1:14">
      <c r="G193" s="78"/>
      <c r="H193" s="78"/>
      <c r="J193" s="79"/>
      <c r="K193" s="70"/>
      <c r="L193" s="83"/>
      <c r="M193" s="82"/>
      <c r="N193" s="50"/>
    </row>
    <row r="194" ht="14.25" customHeight="1" spans="1:14">
      <c r="G194" s="78"/>
      <c r="H194" s="78"/>
      <c r="J194" s="79"/>
      <c r="K194" s="70"/>
      <c r="L194" s="83"/>
      <c r="M194" s="82"/>
      <c r="N194" s="50"/>
    </row>
    <row r="195" ht="14.25" customHeight="1" spans="1:14">
      <c r="G195" s="78"/>
      <c r="H195" s="78"/>
      <c r="J195" s="79"/>
      <c r="K195" s="70"/>
      <c r="L195" s="83"/>
      <c r="M195" s="82"/>
      <c r="N195" s="50"/>
    </row>
    <row r="196" ht="14.25" customHeight="1" spans="1:14">
      <c r="A196" s="84"/>
      <c r="B196" s="85"/>
      <c r="C196" s="85"/>
      <c r="D196" s="85"/>
      <c r="E196" s="85"/>
      <c r="F196" s="85"/>
      <c r="G196" s="85"/>
      <c r="H196" s="85"/>
      <c r="I196" s="86"/>
      <c r="J196" s="86"/>
      <c r="K196" s="87">
        <f>SUM(K22:K195)</f>
        <v>1437</v>
      </c>
      <c r="L196" s="88"/>
      <c r="M196" s="88">
        <f>SUM(M22:M195)</f>
        <v>28394.63</v>
      </c>
      <c r="N196" s="50"/>
    </row>
    <row r="197" ht="14.25" customHeight="1" spans="1:14">
      <c r="A197" s="89" t="s">
        <v>435</v>
      </c>
      <c r="B197" s="90"/>
      <c r="C197" s="89" t="s">
        <v>436</v>
      </c>
      <c r="D197" s="90"/>
      <c r="E197" s="90"/>
      <c r="F197" s="90"/>
      <c r="G197" s="90"/>
      <c r="H197" s="90"/>
      <c r="I197" s="90"/>
      <c r="J197" s="90"/>
      <c r="K197" s="90"/>
      <c r="L197" s="90"/>
      <c r="M197" s="91"/>
      <c r="N197" s="50"/>
    </row>
    <row r="198" ht="14.25" customHeight="1" spans="1:14">
      <c r="A198" s="92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4"/>
      <c r="N198" s="50"/>
    </row>
    <row r="199" ht="14.25" customHeight="1" spans="1:14">
      <c r="A199" s="92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4"/>
      <c r="N199" s="50"/>
    </row>
    <row r="200" ht="14.25" customHeight="1" spans="1:14">
      <c r="A200" s="95" t="s">
        <v>437</v>
      </c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7"/>
      <c r="N200" s="50"/>
    </row>
    <row r="201" ht="14.25" customHeight="1" spans="1:14">
      <c r="A201" s="98"/>
      <c r="B201" s="90"/>
      <c r="C201" s="90"/>
      <c r="D201" s="90"/>
      <c r="E201" s="90"/>
      <c r="F201" s="90"/>
      <c r="G201" s="90"/>
      <c r="H201" s="99"/>
      <c r="I201" s="90"/>
      <c r="J201" s="90"/>
      <c r="K201" s="90"/>
      <c r="L201" s="90"/>
      <c r="M201" s="91"/>
      <c r="N201" s="50"/>
    </row>
    <row r="202" ht="14.25" customHeight="1" spans="1:14">
      <c r="A202" s="92"/>
      <c r="B202" s="93"/>
      <c r="C202" s="93"/>
      <c r="D202" s="93"/>
      <c r="E202" s="93"/>
      <c r="F202" s="93"/>
      <c r="G202" s="93"/>
      <c r="H202" s="100"/>
      <c r="I202" s="93"/>
      <c r="J202" s="93"/>
      <c r="K202" s="93"/>
      <c r="L202" s="93"/>
      <c r="M202" s="94"/>
      <c r="N202" s="50"/>
    </row>
    <row r="203" ht="14.25" customHeight="1" spans="1:14">
      <c r="A203" s="92"/>
      <c r="B203" s="93"/>
      <c r="C203" s="93"/>
      <c r="D203" s="93"/>
      <c r="E203" s="93"/>
      <c r="F203" s="93"/>
      <c r="G203" s="93"/>
      <c r="H203" s="101"/>
      <c r="I203" s="93"/>
      <c r="J203" s="93"/>
      <c r="K203" s="93"/>
      <c r="L203" s="93"/>
      <c r="M203" s="94"/>
      <c r="N203" s="50"/>
    </row>
    <row r="204" ht="14.25" customHeight="1" spans="1:14">
      <c r="A204" s="92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4"/>
      <c r="N204" s="50"/>
    </row>
    <row r="205" ht="14.25" customHeight="1" spans="1:14">
      <c r="A205" s="92"/>
      <c r="B205" s="93"/>
      <c r="C205" s="93"/>
      <c r="D205" s="93"/>
      <c r="E205" s="93"/>
      <c r="F205" s="93"/>
      <c r="G205" s="93"/>
      <c r="H205" s="50" t="s">
        <v>438</v>
      </c>
      <c r="I205" s="93"/>
      <c r="J205" s="93"/>
      <c r="K205" s="93"/>
      <c r="L205" s="93"/>
      <c r="M205" s="94"/>
      <c r="N205" s="50"/>
    </row>
    <row r="206" ht="14.25" customHeight="1" spans="1:14">
      <c r="A206" s="92"/>
      <c r="B206" s="93"/>
      <c r="C206" s="93"/>
      <c r="D206" s="93"/>
      <c r="E206" s="93"/>
      <c r="F206" s="93"/>
      <c r="G206" s="93"/>
      <c r="H206" s="102" t="s">
        <v>0</v>
      </c>
      <c r="I206" s="93"/>
      <c r="J206" s="93"/>
      <c r="K206" s="93"/>
      <c r="L206" s="93"/>
      <c r="M206" s="94"/>
      <c r="N206" s="50"/>
    </row>
    <row r="207" ht="14.25" customHeight="1" spans="1:14">
      <c r="A207" s="92"/>
      <c r="B207" s="93"/>
      <c r="C207" s="93"/>
      <c r="D207" s="93"/>
      <c r="E207" s="93"/>
      <c r="F207" s="93"/>
      <c r="G207" s="93"/>
      <c r="H207" s="103" t="s">
        <v>439</v>
      </c>
      <c r="I207" s="93"/>
      <c r="J207" s="93"/>
      <c r="K207" s="93"/>
      <c r="L207" s="93"/>
      <c r="M207" s="94"/>
      <c r="N207" s="50"/>
    </row>
    <row r="208" ht="14.25" customHeight="1" spans="1:14">
      <c r="A208" s="92"/>
      <c r="B208" s="93"/>
      <c r="C208" s="93"/>
      <c r="D208" s="93"/>
      <c r="E208" s="93"/>
      <c r="F208" s="93"/>
      <c r="G208" s="93"/>
      <c r="H208" s="50"/>
      <c r="I208" s="93"/>
      <c r="J208" s="93"/>
      <c r="K208" s="93"/>
      <c r="L208" s="93"/>
      <c r="M208" s="94"/>
      <c r="N208" s="50"/>
    </row>
    <row r="209" ht="14.25" customHeight="1" spans="1:14">
      <c r="A209" s="92"/>
      <c r="B209" s="93"/>
      <c r="C209" s="93"/>
      <c r="D209" s="93"/>
      <c r="E209" s="93"/>
      <c r="F209" s="93"/>
      <c r="G209" s="93"/>
      <c r="H209" s="50"/>
      <c r="I209" s="93"/>
      <c r="J209" s="93"/>
      <c r="K209" s="93"/>
      <c r="L209" s="93"/>
      <c r="M209" s="94"/>
      <c r="N209" s="50"/>
    </row>
    <row r="210" ht="14.25" customHeight="1" spans="1:14">
      <c r="A210" s="104"/>
      <c r="B210" s="93"/>
      <c r="C210" s="93"/>
      <c r="D210" s="93"/>
      <c r="E210" s="93"/>
      <c r="F210" s="93"/>
      <c r="G210" s="93"/>
      <c r="H210" s="50"/>
      <c r="I210" s="93"/>
      <c r="J210" s="93"/>
      <c r="K210" s="93"/>
      <c r="L210" s="93"/>
      <c r="M210" s="94"/>
      <c r="N210" s="50"/>
    </row>
    <row r="211" ht="14.25" customHeight="1" spans="1:14">
      <c r="A211" s="104"/>
      <c r="B211" s="93"/>
      <c r="C211" s="93"/>
      <c r="D211" s="93"/>
      <c r="E211" s="93"/>
      <c r="F211" s="93"/>
      <c r="G211" s="93"/>
      <c r="H211" s="50"/>
      <c r="I211" s="93"/>
      <c r="J211" s="93"/>
      <c r="K211" s="93"/>
      <c r="L211" s="93"/>
      <c r="M211" s="94"/>
      <c r="N211" s="50"/>
    </row>
    <row r="212" ht="14.25" customHeight="1" spans="1:14">
      <c r="A212" s="105"/>
      <c r="B212" s="50"/>
      <c r="C212" s="50"/>
      <c r="D212" s="50"/>
      <c r="E212" s="50"/>
      <c r="F212" s="50"/>
      <c r="G212" s="50"/>
      <c r="H212" s="72"/>
      <c r="I212" s="72"/>
      <c r="J212" s="72"/>
      <c r="K212" s="72"/>
      <c r="L212" s="72"/>
      <c r="M212" s="70"/>
      <c r="N212" s="50"/>
    </row>
    <row r="213" ht="14.25" customHeight="1" spans="1:14">
      <c r="A213" s="105"/>
      <c r="B213" s="50"/>
      <c r="C213" s="50"/>
      <c r="D213" s="50"/>
      <c r="E213" s="50"/>
      <c r="F213" s="50"/>
      <c r="G213" s="50"/>
      <c r="H213" s="50" t="s">
        <v>440</v>
      </c>
      <c r="I213" s="50"/>
      <c r="J213" s="50"/>
      <c r="K213" s="50"/>
      <c r="L213" s="50"/>
      <c r="M213" s="70"/>
      <c r="N213" s="50"/>
    </row>
    <row r="214" ht="14.25" customHeight="1" spans="1:14">
      <c r="A214" s="105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70"/>
      <c r="N214" s="50"/>
    </row>
    <row r="215" ht="14.25" customHeight="1" spans="1:14">
      <c r="A215" s="71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3"/>
      <c r="N215" s="50"/>
    </row>
    <row r="216" ht="14.25" customHeight="1" spans="1:14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</row>
    <row r="217" ht="14.25" customHeight="1" spans="1:14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</row>
    <row r="218" ht="14.25" customHeight="1" spans="1:14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</row>
    <row r="219" ht="14.25" customHeight="1" spans="1:14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</row>
    <row r="220" ht="14.25" customHeight="1" spans="1:14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</row>
    <row r="221" ht="14.25" customHeight="1" spans="1:14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</row>
    <row r="222" ht="14.25" customHeight="1" spans="1:14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</row>
    <row r="223" ht="14.25" customHeight="1" spans="1:14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</row>
    <row r="224" ht="14.25" customHeight="1" spans="1:14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</row>
    <row r="225" ht="14.25" customHeight="1" spans="1:14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</row>
    <row r="226" ht="14.25" customHeight="1" spans="1:14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</row>
    <row r="227" ht="14.25" customHeight="1" spans="1:14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</row>
    <row r="228" ht="14.25" customHeight="1" spans="1:14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</row>
    <row r="229" ht="14.25" customHeight="1" spans="1:14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</row>
    <row r="230" ht="14.25" customHeight="1" spans="1:14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</row>
    <row r="231" ht="14.25" customHeight="1" spans="1:14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</row>
    <row r="232" ht="14.25" customHeight="1" spans="1:14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</row>
    <row r="233" ht="14.25" customHeight="1" spans="1:14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</row>
    <row r="234" ht="14.25" customHeight="1" spans="1:1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</row>
    <row r="235" ht="14.25" customHeight="1" spans="1:14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</row>
    <row r="236" ht="14.25" customHeight="1" spans="1:14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</row>
    <row r="237" ht="14.25" customHeight="1" spans="1:14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</row>
    <row r="238" ht="14.25" customHeight="1" spans="1:14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</row>
    <row r="239" ht="14.25" customHeight="1" spans="1:14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</row>
    <row r="240" ht="14.25" customHeight="1" spans="1:14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</row>
    <row r="241" ht="14.25" customHeight="1" spans="1:14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</row>
    <row r="242" ht="14.25" customHeight="1" spans="1:14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</row>
    <row r="243" ht="14.25" customHeight="1" spans="1:14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</row>
    <row r="244" ht="14.25" customHeight="1" spans="1:1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</row>
    <row r="245" ht="14.25" customHeight="1" spans="1:14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</row>
    <row r="246" ht="14.25" customHeight="1" spans="1:14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</row>
    <row r="247" ht="14.25" customHeight="1" spans="1:14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</row>
    <row r="248" ht="14.25" customHeight="1" spans="1:14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</row>
    <row r="249" ht="14.25" customHeight="1" spans="1:14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</row>
    <row r="250" ht="14.25" customHeight="1" spans="1:14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</row>
    <row r="251" ht="14.25" customHeight="1" spans="1:14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</row>
    <row r="252" ht="14.25" customHeight="1" spans="1:14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</row>
    <row r="253" ht="14.25" customHeight="1" spans="1:14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</row>
    <row r="254" ht="14.25" customHeight="1" spans="1:1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</row>
    <row r="255" ht="14.25" customHeight="1" spans="1:14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</row>
    <row r="256" ht="14.25" customHeight="1" spans="1:14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</row>
    <row r="257" ht="14.25" customHeight="1" spans="1:14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</row>
    <row r="258" ht="14.25" customHeight="1" spans="1:14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</row>
    <row r="259" ht="14.25" customHeight="1" spans="1:14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</row>
    <row r="260" ht="14.25" customHeight="1" spans="1:14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</row>
    <row r="261" ht="14.25" customHeight="1" spans="1:14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</row>
    <row r="262" ht="14.25" customHeight="1" spans="1:14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</row>
    <row r="263" ht="14.25" customHeight="1" spans="1:14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</row>
    <row r="264" ht="14.25" customHeight="1" spans="1:1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</row>
    <row r="265" ht="14.25" customHeight="1" spans="1:14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</row>
    <row r="266" ht="14.25" customHeight="1" spans="1:14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</row>
    <row r="267" ht="14.25" customHeight="1" spans="1:14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</row>
    <row r="268" ht="14.25" customHeight="1" spans="1:14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</row>
    <row r="269" ht="14.25" customHeight="1" spans="1:14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</row>
    <row r="270" ht="14.25" customHeight="1" spans="1:14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</row>
    <row r="271" ht="14.25" customHeight="1" spans="1:14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</row>
    <row r="272" ht="14.25" customHeight="1" spans="1:14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</row>
    <row r="273" ht="14.25" customHeight="1" spans="1:14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</row>
    <row r="274" ht="14.25" customHeight="1" spans="1:1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</row>
    <row r="275" ht="14.25" customHeight="1" spans="1:14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</row>
    <row r="276" ht="14.25" customHeight="1" spans="1:14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</row>
    <row r="277" ht="14.25" customHeight="1" spans="1:14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</row>
    <row r="278" ht="14.25" customHeight="1" spans="1:14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</row>
    <row r="279" ht="14.25" customHeight="1" spans="1:14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</row>
    <row r="280" ht="14.25" customHeight="1" spans="1:14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</row>
    <row r="281" ht="14.25" customHeight="1" spans="1:14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</row>
    <row r="282" ht="14.25" customHeight="1" spans="1:14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</row>
    <row r="283" ht="14.25" customHeight="1" spans="1:14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</row>
    <row r="284" ht="14.25" customHeight="1" spans="1:1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</row>
    <row r="285" ht="14.25" customHeight="1" spans="1:14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</row>
    <row r="286" ht="14.25" customHeight="1" spans="1:14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</row>
    <row r="287" ht="14.25" customHeight="1" spans="1:14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</row>
    <row r="288" ht="14.25" customHeight="1" spans="1:14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</row>
    <row r="289" ht="14.25" customHeight="1" spans="1:14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</row>
    <row r="290" ht="14.25" customHeight="1" spans="1:14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</row>
    <row r="291" ht="14.25" customHeight="1" spans="1:14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</row>
    <row r="292" ht="14.25" customHeight="1" spans="1:14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</row>
    <row r="293" ht="14.25" customHeight="1" spans="1:14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</row>
    <row r="294" ht="14.25" customHeight="1" spans="1:1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</row>
    <row r="295" ht="14.25" customHeight="1" spans="1:14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</row>
    <row r="296" ht="14.25" customHeight="1" spans="1:14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</row>
    <row r="297" ht="14.25" customHeight="1" spans="1:14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</row>
    <row r="298" ht="14.25" customHeight="1" spans="1:14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</row>
    <row r="299" ht="14.25" customHeight="1" spans="1:14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</row>
    <row r="300" ht="14.25" customHeight="1" spans="1:14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</row>
    <row r="301" ht="14.25" customHeight="1" spans="1:14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</row>
    <row r="302" ht="14.25" customHeight="1" spans="1:14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</row>
    <row r="303" ht="14.25" customHeight="1" spans="1:14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</row>
    <row r="304" ht="14.25" customHeight="1" spans="1:1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</row>
    <row r="305" ht="14.25" customHeight="1" spans="1:14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</row>
    <row r="306" ht="14.25" customHeight="1" spans="1:14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</row>
    <row r="307" ht="14.25" customHeight="1" spans="1:14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</row>
    <row r="308" ht="14.25" customHeight="1" spans="1:14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</row>
    <row r="309" ht="14.25" customHeight="1" spans="1:14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</row>
    <row r="310" ht="14.25" customHeight="1" spans="1:14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</row>
    <row r="311" ht="14.25" customHeight="1" spans="1:14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</row>
    <row r="312" ht="14.25" customHeight="1" spans="1:14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</row>
    <row r="313" ht="14.25" customHeight="1" spans="1:14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</row>
    <row r="314" ht="14.25" customHeight="1" spans="1: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</row>
    <row r="315" ht="14.25" customHeight="1" spans="1:14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</row>
    <row r="316" ht="14.25" customHeight="1" spans="1:14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</row>
    <row r="317" ht="14.25" customHeight="1" spans="1:14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</row>
    <row r="318" ht="14.25" customHeight="1" spans="1:14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</row>
    <row r="319" ht="14.25" customHeight="1" spans="1:14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</row>
    <row r="320" ht="14.25" customHeight="1" spans="1:14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</row>
    <row r="321" ht="14.25" customHeight="1" spans="1:14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</row>
    <row r="322" ht="14.25" customHeight="1" spans="1:14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</row>
    <row r="323" ht="14.25" customHeight="1" spans="1:14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</row>
    <row r="324" ht="14.25" customHeight="1" spans="1:1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</row>
    <row r="325" ht="14.25" customHeight="1" spans="1:14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</row>
    <row r="326" ht="14.25" customHeight="1" spans="1:14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</row>
    <row r="327" ht="14.25" customHeight="1" spans="1:14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</row>
    <row r="328" ht="14.25" customHeight="1" spans="1:14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</row>
    <row r="329" ht="14.25" customHeight="1" spans="1:14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</row>
    <row r="330" ht="14.25" customHeight="1" spans="1:14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</row>
    <row r="331" ht="14.25" customHeight="1" spans="1:14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</row>
    <row r="332" ht="14.25" customHeight="1" spans="1:14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</row>
    <row r="333" ht="14.25" customHeight="1" spans="1:14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</row>
    <row r="334" ht="14.25" customHeight="1" spans="1:1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</row>
    <row r="335" ht="14.25" customHeight="1" spans="1:14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</row>
    <row r="336" ht="14.25" customHeight="1" spans="1:14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</row>
    <row r="337" ht="14.25" customHeight="1" spans="1:14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</row>
    <row r="338" ht="14.25" customHeight="1" spans="1:14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</row>
    <row r="339" ht="14.25" customHeight="1" spans="1:14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</row>
    <row r="340" ht="14.25" customHeight="1" spans="1:14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</row>
    <row r="341" ht="14.25" customHeight="1" spans="1:14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</row>
    <row r="342" ht="14.25" customHeight="1" spans="1:14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</row>
    <row r="343" ht="14.25" customHeight="1" spans="1:14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</row>
    <row r="344" ht="14.25" customHeight="1" spans="1:1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</row>
    <row r="345" ht="14.25" customHeight="1" spans="1:14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</row>
    <row r="346" ht="14.25" customHeight="1" spans="1:14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</row>
    <row r="347" ht="14.25" customHeight="1" spans="1:14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</row>
    <row r="348" ht="14.25" customHeight="1" spans="1:14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</row>
    <row r="349" ht="14.25" customHeight="1" spans="1:14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</row>
    <row r="350" ht="14.25" customHeight="1" spans="1:14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</row>
    <row r="351" ht="14.25" customHeight="1" spans="1:14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</row>
    <row r="352" ht="14.25" customHeight="1" spans="1:14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</row>
    <row r="353" ht="14.25" customHeight="1" spans="1:14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</row>
    <row r="354" ht="14.25" customHeight="1" spans="1:1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</row>
    <row r="355" ht="14.25" customHeight="1" spans="1:14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</row>
    <row r="356" ht="14.25" customHeight="1" spans="1:14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</row>
    <row r="357" ht="14.25" customHeight="1" spans="1:14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</row>
    <row r="358" ht="14.25" customHeight="1" spans="1:14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</row>
    <row r="359" ht="14.25" customHeight="1" spans="1:14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</row>
    <row r="360" ht="14.25" customHeight="1" spans="1:14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</row>
    <row r="361" ht="14.25" customHeight="1" spans="1:14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</row>
    <row r="362" ht="14.25" customHeight="1" spans="1:14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</row>
    <row r="363" ht="14.25" customHeight="1" spans="1:14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</row>
    <row r="364" ht="14.25" customHeight="1" spans="1:1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</row>
    <row r="365" ht="14.25" customHeight="1" spans="1:14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</row>
    <row r="366" ht="14.25" customHeight="1" spans="1:14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</row>
    <row r="367" ht="14.25" customHeight="1" spans="1:14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</row>
    <row r="368" ht="14.25" customHeight="1" spans="1:14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</row>
    <row r="369" ht="14.25" customHeight="1" spans="1:14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</row>
    <row r="370" ht="14.25" customHeight="1" spans="1:14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</row>
    <row r="371" ht="14.25" customHeight="1" spans="1:14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</row>
    <row r="372" ht="14.25" customHeight="1" spans="1:14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</row>
    <row r="373" ht="14.25" customHeight="1" spans="1:14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</row>
    <row r="374" ht="14.25" customHeight="1" spans="1:1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</row>
    <row r="375" ht="14.25" customHeight="1" spans="1:14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</row>
    <row r="376" ht="14.25" customHeight="1" spans="1:14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</row>
    <row r="377" ht="14.25" customHeight="1" spans="1:14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</row>
    <row r="378" ht="14.25" customHeight="1" spans="1:14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</row>
    <row r="379" ht="14.25" customHeight="1" spans="1:14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</row>
    <row r="380" ht="14.25" customHeight="1" spans="1:14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</row>
    <row r="381" ht="14.25" customHeight="1" spans="1:14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</row>
    <row r="382" ht="14.25" customHeight="1" spans="1:14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</row>
    <row r="383" ht="14.25" customHeight="1" spans="1:14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</row>
    <row r="384" ht="14.25" customHeight="1" spans="1:1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</row>
    <row r="385" ht="14.25" customHeight="1" spans="1:14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</row>
    <row r="386" ht="14.25" customHeight="1" spans="1:14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</row>
    <row r="387" ht="14.25" customHeight="1" spans="1:14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</row>
    <row r="388" ht="14.25" customHeight="1" spans="1:14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</row>
    <row r="389" ht="14.25" customHeight="1" spans="1:14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</row>
    <row r="390" ht="14.25" customHeight="1" spans="1:14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</row>
    <row r="391" ht="14.25" customHeight="1" spans="1:14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</row>
    <row r="392" ht="14.25" customHeight="1" spans="1:14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</row>
    <row r="393" ht="14.25" customHeight="1" spans="1:14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</row>
    <row r="394" ht="14.25" customHeight="1" spans="1:1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</row>
    <row r="395" ht="14.25" customHeight="1" spans="1:14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</row>
    <row r="396" ht="14.25" customHeight="1" spans="1:14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</row>
    <row r="397" ht="14.25" customHeight="1" spans="1:14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</row>
    <row r="398" ht="14.25" customHeight="1" spans="1:14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</row>
    <row r="399" ht="14.25" customHeight="1" spans="1:14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</row>
    <row r="400" ht="14.25" customHeight="1" spans="1:14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</row>
    <row r="401" ht="14.25" customHeight="1" spans="1:14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</row>
    <row r="402" ht="14.25" customHeight="1" spans="1:14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</row>
    <row r="403" ht="14.25" customHeight="1" spans="1:14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</row>
    <row r="404" ht="14.25" customHeight="1" spans="1:1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</row>
    <row r="405" ht="14.25" customHeight="1" spans="1:14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</row>
    <row r="406" ht="14.25" customHeight="1" spans="1:14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</row>
    <row r="407" ht="14.25" customHeight="1" spans="1:14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</row>
    <row r="408" ht="14.25" customHeight="1" spans="1:14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</row>
    <row r="409" ht="14.25" customHeight="1" spans="1:14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</row>
    <row r="410" ht="14.25" customHeight="1" spans="1:14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</row>
    <row r="411" ht="14.25" customHeight="1" spans="1:14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</row>
    <row r="412" ht="14.25" customHeight="1" spans="1:14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</row>
    <row r="413" ht="14.25" customHeight="1" spans="1:14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</row>
    <row r="414" ht="14.25" customHeight="1" spans="1: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</row>
    <row r="415" ht="14.25" customHeight="1" spans="1:14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</row>
    <row r="416" ht="14.25" customHeight="1" spans="1:14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</row>
    <row r="417" ht="14.25" customHeight="1" spans="1:14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</row>
    <row r="418" ht="14.25" customHeight="1" spans="1:14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</row>
    <row r="419" ht="14.25" customHeight="1" spans="1:14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</row>
    <row r="420" ht="14.25" customHeight="1" spans="1:14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</row>
    <row r="421" ht="14.25" customHeight="1" spans="1:14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</row>
    <row r="422" ht="14.25" customHeight="1" spans="1:14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</row>
    <row r="423" ht="14.25" customHeight="1" spans="1:14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</row>
    <row r="424" ht="14.25" customHeight="1" spans="1:1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</row>
    <row r="425" ht="14.25" customHeight="1" spans="1:14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</row>
    <row r="426" ht="14.25" customHeight="1" spans="1:14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</row>
    <row r="427" ht="14.25" customHeight="1" spans="1:14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</row>
    <row r="428" ht="14.25" customHeight="1" spans="1:14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</row>
    <row r="429" ht="14.25" customHeight="1" spans="1:14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</row>
    <row r="430" ht="14.25" customHeight="1" spans="1:14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</row>
    <row r="431" ht="14.25" customHeight="1" spans="1:14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</row>
    <row r="432" ht="14.25" customHeight="1" spans="1:14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</row>
    <row r="433" ht="14.25" customHeight="1" spans="1:14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</row>
    <row r="434" ht="14.25" customHeight="1" spans="1:1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</row>
    <row r="435" ht="14.25" customHeight="1" spans="1:14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</row>
    <row r="436" ht="14.25" customHeight="1" spans="1:14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</row>
    <row r="437" ht="14.25" customHeight="1" spans="1:14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</row>
    <row r="438" ht="14.25" customHeight="1" spans="1:14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</row>
    <row r="439" ht="14.25" customHeight="1" spans="1:14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</row>
    <row r="440" ht="14.25" customHeight="1" spans="1:14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</row>
    <row r="441" ht="14.25" customHeight="1" spans="1:14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</row>
    <row r="442" ht="14.25" customHeight="1" spans="1:14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</row>
    <row r="443" ht="14.25" customHeight="1" spans="1:14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</row>
    <row r="444" ht="14.25" customHeight="1" spans="1:1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</row>
    <row r="445" ht="14.25" customHeight="1" spans="1:14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</row>
    <row r="446" ht="14.25" customHeight="1" spans="1:14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</row>
    <row r="447" ht="14.25" customHeight="1" spans="1:14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</row>
    <row r="448" ht="14.25" customHeight="1" spans="1:14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</row>
    <row r="449" ht="14.25" customHeight="1" spans="1:14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</row>
    <row r="450" ht="14.25" customHeight="1" spans="1:14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</row>
    <row r="451" ht="14.25" customHeight="1" spans="1:14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</row>
    <row r="452" ht="14.25" customHeight="1" spans="1:14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</row>
    <row r="453" ht="14.25" customHeight="1" spans="1:14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</row>
    <row r="454" ht="14.25" customHeight="1" spans="1:1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</row>
    <row r="455" ht="14.25" customHeight="1" spans="1:14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</row>
    <row r="456" ht="14.25" customHeight="1" spans="1:14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</row>
    <row r="457" ht="14.25" customHeight="1" spans="1:14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</row>
    <row r="458" ht="14.25" customHeight="1" spans="1:14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</row>
    <row r="459" ht="14.25" customHeight="1" spans="1:14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</row>
    <row r="460" ht="14.25" customHeight="1" spans="1:14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</row>
    <row r="461" ht="14.25" customHeight="1" spans="1:14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</row>
    <row r="462" ht="14.25" customHeight="1" spans="1:14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</row>
    <row r="463" ht="14.25" customHeight="1" spans="1:14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</row>
    <row r="464" ht="14.25" customHeight="1" spans="1:1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</row>
    <row r="465" ht="14.25" customHeight="1" spans="1:14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</row>
    <row r="466" ht="14.25" customHeight="1" spans="1:14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</row>
    <row r="467" ht="14.25" customHeight="1" spans="1:14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</row>
    <row r="468" ht="14.25" customHeight="1" spans="1:14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</row>
    <row r="469" ht="14.25" customHeight="1" spans="1:14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</row>
    <row r="470" ht="14.25" customHeight="1" spans="1:14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</row>
    <row r="471" ht="14.25" customHeight="1" spans="1:14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</row>
    <row r="472" ht="14.25" customHeight="1" spans="1:14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</row>
    <row r="473" ht="14.25" customHeight="1" spans="1:14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</row>
    <row r="474" ht="14.25" customHeight="1" spans="1:1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</row>
    <row r="475" ht="14.25" customHeight="1" spans="1:14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</row>
    <row r="476" ht="14.25" customHeight="1" spans="1:14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</row>
    <row r="477" ht="14.25" customHeight="1" spans="1:14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</row>
    <row r="478" ht="14.25" customHeight="1" spans="1:14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</row>
    <row r="479" ht="14.25" customHeight="1" spans="1:14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</row>
    <row r="480" ht="14.25" customHeight="1" spans="1:14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</row>
    <row r="481" ht="14.25" customHeight="1" spans="1:14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</row>
    <row r="482" ht="14.25" customHeight="1" spans="1:14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</row>
    <row r="483" ht="14.25" customHeight="1" spans="1:14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</row>
    <row r="484" ht="14.25" customHeight="1" spans="1:1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</row>
    <row r="485" ht="14.25" customHeight="1" spans="1:14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</row>
    <row r="486" ht="14.25" customHeight="1" spans="1:14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</row>
    <row r="487" ht="14.25" customHeight="1" spans="1:14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</row>
    <row r="488" ht="14.25" customHeight="1" spans="1:14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</row>
    <row r="489" ht="14.25" customHeight="1" spans="1:14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</row>
    <row r="490" ht="14.25" customHeight="1" spans="1:14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</row>
    <row r="491" ht="14.25" customHeight="1" spans="1:14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</row>
    <row r="492" ht="14.25" customHeight="1" spans="1:14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</row>
    <row r="493" ht="14.25" customHeight="1" spans="1:14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</row>
    <row r="494" ht="14.25" customHeight="1" spans="1:1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</row>
    <row r="495" ht="14.25" customHeight="1" spans="1:14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</row>
    <row r="496" ht="14.25" customHeight="1" spans="1:14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</row>
    <row r="497" ht="14.25" customHeight="1" spans="1:14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</row>
    <row r="498" ht="14.25" customHeight="1" spans="1:14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</row>
    <row r="499" ht="14.25" customHeight="1" spans="1:14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</row>
    <row r="500" ht="14.25" customHeight="1" spans="1:14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</row>
    <row r="501" ht="14.25" customHeight="1" spans="1:14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</row>
    <row r="502" ht="14.25" customHeight="1" spans="1:14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</row>
    <row r="503" ht="14.25" customHeight="1" spans="1:14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</row>
    <row r="504" ht="14.25" customHeight="1" spans="1:1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</row>
    <row r="505" ht="14.25" customHeight="1" spans="1:14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</row>
    <row r="506" ht="14.25" customHeight="1" spans="1:14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</row>
    <row r="507" ht="14.25" customHeight="1" spans="1:14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</row>
    <row r="508" ht="14.25" customHeight="1" spans="1:14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</row>
    <row r="509" ht="14.25" customHeight="1" spans="1:14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</row>
    <row r="510" ht="14.25" customHeight="1" spans="1:14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</row>
    <row r="511" ht="14.25" customHeight="1" spans="1:14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</row>
    <row r="512" ht="14.25" customHeight="1" spans="1:14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</row>
    <row r="513" ht="14.25" customHeight="1" spans="1:14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</row>
    <row r="514" ht="14.25" customHeight="1" spans="1: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</row>
    <row r="515" ht="14.25" customHeight="1" spans="1:14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</row>
    <row r="516" ht="14.25" customHeight="1" spans="1:14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</row>
    <row r="517" ht="14.25" customHeight="1" spans="1:14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</row>
    <row r="518" ht="14.25" customHeight="1" spans="1:14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</row>
    <row r="519" ht="14.25" customHeight="1" spans="1:14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</row>
    <row r="520" ht="14.25" customHeight="1" spans="1:14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</row>
    <row r="521" ht="14.25" customHeight="1" spans="1:14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</row>
    <row r="522" ht="14.25" customHeight="1" spans="1:14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</row>
    <row r="523" ht="14.25" customHeight="1" spans="1:14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</row>
    <row r="524" ht="14.25" customHeight="1" spans="1:1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</row>
    <row r="525" ht="14.25" customHeight="1" spans="1:14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</row>
    <row r="526" ht="14.25" customHeight="1" spans="1:14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</row>
    <row r="527" ht="14.25" customHeight="1" spans="1:14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</row>
    <row r="528" ht="14.25" customHeight="1" spans="1:14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</row>
    <row r="529" ht="14.25" customHeight="1" spans="1:14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</row>
    <row r="530" ht="14.25" customHeight="1" spans="1:14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</row>
    <row r="531" ht="14.25" customHeight="1" spans="1:14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</row>
    <row r="532" ht="14.25" customHeight="1" spans="1:14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</row>
    <row r="533" ht="14.25" customHeight="1" spans="1:14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</row>
    <row r="534" ht="14.25" customHeight="1" spans="1:1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</row>
    <row r="535" ht="14.25" customHeight="1" spans="1:14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</row>
    <row r="536" ht="14.25" customHeight="1" spans="1:14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</row>
    <row r="537" ht="14.25" customHeight="1" spans="1:14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</row>
    <row r="538" ht="14.25" customHeight="1" spans="1:14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</row>
    <row r="539" ht="14.25" customHeight="1" spans="1:14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</row>
    <row r="540" ht="14.25" customHeight="1" spans="1:14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</row>
    <row r="541" ht="14.25" customHeight="1" spans="1:14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</row>
    <row r="542" ht="14.25" customHeight="1" spans="1:14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</row>
    <row r="543" ht="14.25" customHeight="1" spans="1:14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</row>
    <row r="544" ht="14.25" customHeight="1" spans="1:1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</row>
    <row r="545" ht="14.25" customHeight="1" spans="1:14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</row>
    <row r="546" ht="14.25" customHeight="1" spans="1:14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</row>
    <row r="547" ht="14.25" customHeight="1" spans="1:14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</row>
    <row r="548" ht="14.25" customHeight="1" spans="1:14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</row>
    <row r="549" ht="14.25" customHeight="1" spans="1:14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</row>
    <row r="550" ht="14.25" customHeight="1" spans="1:14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</row>
    <row r="551" ht="14.25" customHeight="1" spans="1:14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</row>
    <row r="552" ht="14.25" customHeight="1" spans="1:14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</row>
    <row r="553" ht="14.25" customHeight="1" spans="1:14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</row>
    <row r="554" ht="14.25" customHeight="1" spans="1:1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</row>
    <row r="555" ht="14.25" customHeight="1" spans="1:14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</row>
    <row r="556" ht="14.25" customHeight="1" spans="1:14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</row>
    <row r="557" ht="14.25" customHeight="1" spans="1:14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</row>
    <row r="558" ht="14.25" customHeight="1" spans="1:14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</row>
    <row r="559" ht="14.25" customHeight="1" spans="1:14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</row>
    <row r="560" ht="14.25" customHeight="1" spans="1:14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</row>
    <row r="561" ht="14.25" customHeight="1" spans="1:14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</row>
    <row r="562" ht="14.25" customHeight="1" spans="1:14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</row>
    <row r="563" ht="14.25" customHeight="1" spans="1:14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</row>
    <row r="564" ht="14.25" customHeight="1" spans="1:1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</row>
    <row r="565" ht="14.25" customHeight="1" spans="1:14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</row>
    <row r="566" ht="14.25" customHeight="1" spans="1:14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</row>
    <row r="567" ht="14.25" customHeight="1" spans="1:14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</row>
    <row r="568" ht="14.25" customHeight="1" spans="1:14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</row>
    <row r="569" ht="14.25" customHeight="1" spans="1:14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</row>
    <row r="570" ht="14.25" customHeight="1" spans="1:14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</row>
    <row r="571" ht="14.25" customHeight="1" spans="1:14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</row>
    <row r="572" ht="14.25" customHeight="1" spans="1:14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</row>
    <row r="573" ht="14.25" customHeight="1" spans="1:14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</row>
    <row r="574" ht="14.25" customHeight="1" spans="1:1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</row>
    <row r="575" ht="14.25" customHeight="1" spans="1:14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</row>
    <row r="576" ht="14.25" customHeight="1" spans="1:14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</row>
    <row r="577" ht="14.25" customHeight="1" spans="1:14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</row>
    <row r="578" ht="14.25" customHeight="1" spans="1:14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</row>
    <row r="579" ht="14.25" customHeight="1" spans="1:14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</row>
    <row r="580" ht="14.25" customHeight="1" spans="1:14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</row>
    <row r="581" ht="14.25" customHeight="1" spans="1:14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</row>
    <row r="582" ht="14.25" customHeight="1" spans="1:14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</row>
    <row r="583" ht="14.25" customHeight="1" spans="1:14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</row>
    <row r="584" ht="14.25" customHeight="1" spans="1:1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</row>
    <row r="585" ht="14.25" customHeight="1" spans="1:14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</row>
    <row r="586" ht="14.25" customHeight="1" spans="1:14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</row>
    <row r="587" ht="14.25" customHeight="1" spans="1:14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</row>
    <row r="588" ht="14.25" customHeight="1" spans="1:14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</row>
    <row r="589" ht="14.25" customHeight="1" spans="1:14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</row>
    <row r="590" ht="14.25" customHeight="1" spans="1:14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</row>
    <row r="591" ht="14.25" customHeight="1" spans="1:14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</row>
    <row r="592" ht="14.25" customHeight="1" spans="1:14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</row>
    <row r="593" ht="14.25" customHeight="1" spans="1:14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</row>
    <row r="594" ht="14.25" customHeight="1" spans="1:1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</row>
    <row r="595" ht="14.25" customHeight="1" spans="1:14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</row>
    <row r="596" ht="14.25" customHeight="1" spans="1:14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</row>
    <row r="597" ht="14.25" customHeight="1" spans="1:14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</row>
    <row r="598" ht="14.25" customHeight="1" spans="1:14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</row>
    <row r="599" ht="14.25" customHeight="1" spans="1:14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</row>
    <row r="600" ht="14.25" customHeight="1" spans="1:14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</row>
    <row r="601" ht="14.25" customHeight="1" spans="1:14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</row>
    <row r="602" ht="14.25" customHeight="1" spans="1:14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</row>
    <row r="603" ht="14.25" customHeight="1" spans="1:14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</row>
    <row r="604" ht="14.25" customHeight="1" spans="1:1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</row>
    <row r="605" ht="14.25" customHeight="1" spans="1:14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</row>
    <row r="606" ht="14.25" customHeight="1" spans="1:14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</row>
    <row r="607" ht="14.25" customHeight="1" spans="1:14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</row>
    <row r="608" ht="14.25" customHeight="1" spans="1:14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</row>
    <row r="609" ht="14.25" customHeight="1" spans="1:14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</row>
    <row r="610" ht="14.25" customHeight="1" spans="1:14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</row>
    <row r="611" ht="14.25" customHeight="1" spans="1:14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</row>
    <row r="612" ht="14.25" customHeight="1" spans="1:14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</row>
    <row r="613" ht="14.25" customHeight="1" spans="1:14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</row>
    <row r="614" ht="14.25" customHeight="1" spans="1: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</row>
    <row r="615" ht="14.25" customHeight="1" spans="1:14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</row>
    <row r="616" ht="14.25" customHeight="1" spans="1:14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</row>
    <row r="617" ht="14.25" customHeight="1" spans="1:14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</row>
    <row r="618" ht="14.25" customHeight="1" spans="1:14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</row>
    <row r="619" ht="14.25" customHeight="1" spans="1:14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</row>
    <row r="620" ht="14.25" customHeight="1" spans="1:14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</row>
    <row r="621" ht="14.25" customHeight="1" spans="1:14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</row>
    <row r="622" ht="14.25" customHeight="1" spans="1:14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</row>
    <row r="623" ht="14.25" customHeight="1" spans="1:14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</row>
    <row r="624" ht="14.25" customHeight="1" spans="1:1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</row>
    <row r="625" ht="14.25" customHeight="1" spans="1:14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</row>
    <row r="626" ht="14.25" customHeight="1" spans="1:14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</row>
    <row r="627" ht="14.25" customHeight="1" spans="1:14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</row>
    <row r="628" ht="14.25" customHeight="1" spans="1:14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</row>
    <row r="629" ht="14.25" customHeight="1" spans="1:14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</row>
    <row r="630" ht="14.25" customHeight="1" spans="1:14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</row>
    <row r="631" ht="14.25" customHeight="1" spans="1:14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</row>
    <row r="632" ht="14.25" customHeight="1" spans="1:14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</row>
    <row r="633" ht="14.25" customHeight="1" spans="1:14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</row>
    <row r="634" ht="14.25" customHeight="1" spans="1:1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</row>
    <row r="635" ht="14.25" customHeight="1" spans="1:14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</row>
    <row r="636" ht="14.25" customHeight="1" spans="1:14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</row>
    <row r="637" ht="14.25" customHeight="1" spans="1:14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</row>
    <row r="638" ht="14.25" customHeight="1" spans="1:14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</row>
    <row r="639" ht="14.25" customHeight="1" spans="1:14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</row>
    <row r="640" ht="14.25" customHeight="1" spans="1:14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</row>
    <row r="641" ht="14.25" customHeight="1" spans="1:14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</row>
    <row r="642" ht="14.25" customHeight="1" spans="1:14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</row>
    <row r="643" ht="14.25" customHeight="1" spans="1:14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</row>
    <row r="644" ht="14.25" customHeight="1" spans="1:1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</row>
    <row r="645" ht="14.25" customHeight="1" spans="1:14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</row>
    <row r="646" ht="14.25" customHeight="1" spans="1:14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</row>
    <row r="647" ht="14.25" customHeight="1" spans="1:14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</row>
    <row r="648" ht="14.25" customHeight="1" spans="1:14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</row>
    <row r="649" ht="14.25" customHeight="1" spans="1:14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</row>
    <row r="650" ht="14.25" customHeight="1" spans="1:14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</row>
    <row r="651" ht="14.25" customHeight="1" spans="1:14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</row>
    <row r="652" ht="14.25" customHeight="1" spans="1:14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</row>
    <row r="653" ht="14.25" customHeight="1" spans="1:14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</row>
    <row r="654" ht="14.25" customHeight="1" spans="1:1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</row>
    <row r="655" ht="14.25" customHeight="1" spans="1:14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</row>
    <row r="656" ht="14.25" customHeight="1" spans="1:14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</row>
    <row r="657" ht="14.25" customHeight="1" spans="1:14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</row>
    <row r="658" ht="14.25" customHeight="1" spans="1:14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</row>
    <row r="659" ht="14.25" customHeight="1" spans="1:14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</row>
    <row r="660" ht="14.25" customHeight="1" spans="1:14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</row>
    <row r="661" ht="14.25" customHeight="1" spans="1:14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</row>
    <row r="662" ht="14.25" customHeight="1" spans="1:14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</row>
    <row r="663" ht="14.25" customHeight="1" spans="1:14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</row>
    <row r="664" ht="14.25" customHeight="1" spans="1:1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</row>
    <row r="665" ht="14.25" customHeight="1" spans="1:14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</row>
    <row r="666" ht="14.25" customHeight="1" spans="1:14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</row>
    <row r="667" ht="14.25" customHeight="1" spans="1:14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</row>
    <row r="668" ht="14.25" customHeight="1" spans="1:14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</row>
    <row r="669" ht="14.25" customHeight="1" spans="1:14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</row>
    <row r="670" ht="14.25" customHeight="1" spans="1:14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</row>
    <row r="671" ht="14.25" customHeight="1" spans="1:14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</row>
    <row r="672" ht="14.25" customHeight="1" spans="1:14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</row>
    <row r="673" ht="14.25" customHeight="1" spans="1:14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</row>
    <row r="674" ht="14.25" customHeight="1" spans="1:1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</row>
    <row r="675" ht="14.25" customHeight="1" spans="1:14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</row>
    <row r="676" ht="14.25" customHeight="1" spans="1:14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</row>
    <row r="677" ht="14.25" customHeight="1" spans="1:14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</row>
    <row r="678" ht="14.25" customHeight="1" spans="1:14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</row>
    <row r="679" ht="14.25" customHeight="1" spans="1:14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</row>
    <row r="680" ht="14.25" customHeight="1" spans="1:14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</row>
    <row r="681" ht="14.25" customHeight="1" spans="1:14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</row>
    <row r="682" ht="14.25" customHeight="1" spans="1:14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</row>
    <row r="683" ht="14.25" customHeight="1" spans="1:14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</row>
    <row r="684" ht="14.25" customHeight="1" spans="1:1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</row>
    <row r="685" ht="14.25" customHeight="1" spans="1:14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</row>
    <row r="686" ht="14.25" customHeight="1" spans="1:14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</row>
    <row r="687" ht="14.25" customHeight="1" spans="1:14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</row>
    <row r="688" ht="14.25" customHeight="1" spans="1:14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</row>
    <row r="689" ht="14.25" customHeight="1" spans="1:14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</row>
    <row r="690" ht="14.25" customHeight="1" spans="1:14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</row>
    <row r="691" ht="14.25" customHeight="1" spans="1:14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</row>
    <row r="692" ht="14.25" customHeight="1" spans="1:14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</row>
    <row r="693" ht="14.25" customHeight="1" spans="1:14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</row>
    <row r="694" ht="14.25" customHeight="1" spans="1:1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</row>
    <row r="695" ht="14.25" customHeight="1" spans="1:14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</row>
    <row r="696" ht="14.25" customHeight="1" spans="1:14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</row>
    <row r="697" ht="14.25" customHeight="1" spans="1:14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</row>
    <row r="698" ht="14.25" customHeight="1" spans="1:14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</row>
    <row r="699" ht="14.25" customHeight="1" spans="1:14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</row>
    <row r="700" ht="14.25" customHeight="1" spans="1:14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</row>
    <row r="701" ht="14.25" customHeight="1" spans="1:14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</row>
    <row r="702" ht="14.25" customHeight="1" spans="1:14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</row>
    <row r="703" ht="14.25" customHeight="1" spans="1:14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</row>
    <row r="704" ht="14.25" customHeight="1" spans="1:1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</row>
    <row r="705" ht="14.25" customHeight="1" spans="1:14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</row>
    <row r="706" ht="14.25" customHeight="1" spans="1:14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</row>
    <row r="707" ht="14.25" customHeight="1" spans="1:14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</row>
    <row r="708" ht="14.25" customHeight="1" spans="1:14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</row>
    <row r="709" ht="14.25" customHeight="1" spans="1:14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</row>
    <row r="710" ht="14.25" customHeight="1" spans="1:14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</row>
    <row r="711" ht="14.25" customHeight="1" spans="1:14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</row>
    <row r="712" ht="14.25" customHeight="1" spans="1:14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</row>
    <row r="713" ht="14.25" customHeight="1" spans="1:14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</row>
    <row r="714" ht="14.25" customHeight="1" spans="1: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</row>
    <row r="715" ht="14.25" customHeight="1" spans="1:14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</row>
    <row r="716" ht="14.25" customHeight="1" spans="1:14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</row>
    <row r="717" ht="14.25" customHeight="1" spans="1:14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</row>
    <row r="718" ht="14.25" customHeight="1" spans="1:14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</row>
    <row r="719" ht="14.25" customHeight="1" spans="1:14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</row>
    <row r="720" ht="14.25" customHeight="1" spans="1:14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</row>
    <row r="721" ht="14.25" customHeight="1" spans="1:14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</row>
    <row r="722" ht="14.25" customHeight="1" spans="1:14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</row>
    <row r="723" ht="14.25" customHeight="1" spans="1:14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</row>
    <row r="724" ht="14.25" customHeight="1" spans="1:1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</row>
    <row r="725" ht="14.25" customHeight="1" spans="1:14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</row>
    <row r="726" ht="14.25" customHeight="1" spans="1:14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</row>
    <row r="727" ht="14.25" customHeight="1" spans="1:14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</row>
    <row r="728" ht="14.25" customHeight="1" spans="1:14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</row>
    <row r="729" ht="14.25" customHeight="1" spans="1:14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</row>
    <row r="730" ht="14.25" customHeight="1" spans="1:14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</row>
    <row r="731" ht="14.25" customHeight="1" spans="1:14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</row>
    <row r="732" ht="14.25" customHeight="1" spans="1:14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</row>
    <row r="733" ht="14.25" customHeight="1" spans="1:14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</row>
    <row r="734" ht="14.25" customHeight="1" spans="1:1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</row>
    <row r="735" ht="14.25" customHeight="1" spans="1:14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</row>
    <row r="736" ht="14.25" customHeight="1" spans="1:14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</row>
    <row r="737" ht="14.25" customHeight="1" spans="1:14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</row>
    <row r="738" ht="14.25" customHeight="1" spans="1:14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</row>
    <row r="739" ht="14.25" customHeight="1" spans="1:14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</row>
    <row r="740" ht="14.25" customHeight="1" spans="1:14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</row>
    <row r="741" ht="14.25" customHeight="1" spans="1:14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</row>
    <row r="742" ht="14.25" customHeight="1" spans="1:14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</row>
    <row r="743" ht="14.25" customHeight="1" spans="1:14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</row>
    <row r="744" ht="14.25" customHeight="1" spans="1:1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</row>
    <row r="745" ht="14.25" customHeight="1" spans="1:14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</row>
    <row r="746" ht="14.25" customHeight="1" spans="1:14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</row>
    <row r="747" ht="14.25" customHeight="1" spans="1:14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</row>
    <row r="748" ht="14.25" customHeight="1" spans="1:14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</row>
    <row r="749" ht="14.25" customHeight="1" spans="1:14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</row>
    <row r="750" ht="14.25" customHeight="1" spans="1:14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</row>
    <row r="751" ht="14.25" customHeight="1" spans="1:14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</row>
    <row r="752" ht="14.25" customHeight="1" spans="1:14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</row>
    <row r="753" ht="14.25" customHeight="1" spans="1:14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</row>
    <row r="754" ht="14.25" customHeight="1" spans="1:1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</row>
    <row r="755" ht="14.25" customHeight="1" spans="1:14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</row>
    <row r="756" ht="14.25" customHeight="1" spans="1:14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</row>
    <row r="757" ht="14.25" customHeight="1" spans="1:14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</row>
    <row r="758" ht="14.25" customHeight="1" spans="1:14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</row>
    <row r="759" ht="14.25" customHeight="1" spans="1:14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</row>
    <row r="760" ht="14.25" customHeight="1" spans="1:14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</row>
    <row r="761" ht="14.25" customHeight="1" spans="1:14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</row>
    <row r="762" ht="14.25" customHeight="1" spans="1:14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</row>
    <row r="763" ht="14.25" customHeight="1" spans="1:14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</row>
    <row r="764" ht="14.25" customHeight="1" spans="1:1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</row>
    <row r="765" ht="14.25" customHeight="1" spans="1:14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</row>
    <row r="766" ht="14.25" customHeight="1" spans="1:14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</row>
    <row r="767" ht="14.25" customHeight="1" spans="1:14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</row>
    <row r="768" ht="14.25" customHeight="1" spans="1:14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</row>
    <row r="769" ht="14.25" customHeight="1" spans="1:14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</row>
    <row r="770" ht="14.25" customHeight="1" spans="1:14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</row>
    <row r="771" ht="14.25" customHeight="1" spans="1:14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</row>
    <row r="772" ht="14.25" customHeight="1" spans="1:14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</row>
    <row r="773" ht="14.25" customHeight="1" spans="1:14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</row>
    <row r="774" ht="14.25" customHeight="1" spans="1:1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</row>
    <row r="775" ht="14.25" customHeight="1" spans="1:14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</row>
    <row r="776" ht="14.25" customHeight="1" spans="1:14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</row>
    <row r="777" ht="14.25" customHeight="1" spans="1:14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</row>
    <row r="778" ht="14.25" customHeight="1" spans="1:14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</row>
    <row r="779" ht="14.25" customHeight="1" spans="1:14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</row>
    <row r="780" ht="14.25" customHeight="1" spans="1:14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</row>
    <row r="781" ht="14.25" customHeight="1" spans="1:14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</row>
    <row r="782" ht="14.25" customHeight="1" spans="1:14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</row>
    <row r="783" ht="14.25" customHeight="1" spans="1:14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</row>
    <row r="784" ht="14.25" customHeight="1" spans="1:1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</row>
    <row r="785" ht="14.25" customHeight="1" spans="1:14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</row>
    <row r="786" ht="14.25" customHeight="1" spans="1:14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</row>
    <row r="787" ht="14.25" customHeight="1" spans="1:14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</row>
    <row r="788" ht="14.25" customHeight="1" spans="1:14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</row>
    <row r="789" ht="14.25" customHeight="1" spans="1:14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</row>
    <row r="790" ht="14.25" customHeight="1" spans="1:14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</row>
    <row r="791" ht="14.25" customHeight="1" spans="1:14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</row>
    <row r="792" ht="14.25" customHeight="1" spans="1:14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</row>
    <row r="793" ht="14.25" customHeight="1" spans="1:14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</row>
    <row r="794" ht="14.25" customHeight="1" spans="1:1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</row>
    <row r="795" ht="14.25" customHeight="1" spans="1:14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</row>
    <row r="796" ht="14.25" customHeight="1" spans="1:14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</row>
    <row r="797" ht="14.25" customHeight="1" spans="1:14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</row>
    <row r="798" ht="14.25" customHeight="1" spans="1:14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</row>
    <row r="799" ht="14.25" customHeight="1" spans="1:14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</row>
    <row r="800" ht="14.25" customHeight="1" spans="1:14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</row>
    <row r="801" ht="14.25" customHeight="1" spans="1:14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</row>
    <row r="802" ht="14.25" customHeight="1" spans="1:14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</row>
    <row r="803" ht="14.25" customHeight="1" spans="1:14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</row>
    <row r="804" ht="14.25" customHeight="1" spans="1:1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</row>
    <row r="805" ht="14.25" customHeight="1" spans="1:14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</row>
    <row r="806" ht="14.25" customHeight="1" spans="1:14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</row>
    <row r="807" ht="14.25" customHeight="1" spans="1:14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</row>
    <row r="808" ht="14.25" customHeight="1" spans="1:14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</row>
    <row r="809" ht="14.25" customHeight="1" spans="1:14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</row>
    <row r="810" ht="14.25" customHeight="1" spans="1:14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</row>
    <row r="811" ht="14.25" customHeight="1" spans="1:14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</row>
    <row r="812" ht="14.25" customHeight="1" spans="1:14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</row>
    <row r="813" ht="14.25" customHeight="1" spans="1:14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</row>
    <row r="814" ht="14.25" customHeight="1" spans="1: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</row>
    <row r="815" ht="14.25" customHeight="1" spans="1:14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</row>
    <row r="816" ht="14.25" customHeight="1" spans="1:14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</row>
    <row r="817" ht="14.25" customHeight="1" spans="1:14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</row>
    <row r="818" ht="14.25" customHeight="1" spans="1:14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</row>
    <row r="819" ht="14.25" customHeight="1" spans="1:14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</row>
    <row r="820" ht="14.25" customHeight="1" spans="1:14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</row>
    <row r="821" ht="14.25" customHeight="1" spans="1:14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</row>
    <row r="822" ht="14.25" customHeight="1" spans="1:14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</row>
    <row r="823" ht="14.25" customHeight="1" spans="1:14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</row>
    <row r="824" ht="14.25" customHeight="1" spans="1:1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</row>
    <row r="825" ht="14.25" customHeight="1" spans="1:14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</row>
    <row r="826" ht="14.25" customHeight="1" spans="1:14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</row>
    <row r="827" ht="14.25" customHeight="1" spans="1:14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</row>
    <row r="828" ht="14.25" customHeight="1" spans="1:14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</row>
    <row r="829" ht="14.25" customHeight="1" spans="1:14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</row>
    <row r="830" ht="14.25" customHeight="1" spans="1:14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</row>
    <row r="831" ht="14.25" customHeight="1" spans="1:14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</row>
    <row r="832" ht="14.25" customHeight="1" spans="1:14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</row>
    <row r="833" ht="14.25" customHeight="1" spans="1:14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</row>
    <row r="834" ht="14.25" customHeight="1" spans="1:1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</row>
    <row r="835" ht="14.25" customHeight="1" spans="1:14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</row>
    <row r="836" ht="14.25" customHeight="1" spans="1:14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</row>
    <row r="837" ht="14.25" customHeight="1" spans="1:14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</row>
    <row r="838" ht="14.25" customHeight="1" spans="1:14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</row>
    <row r="839" ht="14.25" customHeight="1" spans="1:14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</row>
    <row r="840" ht="14.25" customHeight="1" spans="1:14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</row>
    <row r="841" ht="14.25" customHeight="1" spans="1:14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</row>
    <row r="842" ht="14.25" customHeight="1" spans="1:14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</row>
    <row r="843" ht="14.25" customHeight="1" spans="1:14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</row>
    <row r="844" ht="14.25" customHeight="1" spans="1:1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</row>
    <row r="845" ht="14.25" customHeight="1" spans="1:14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</row>
    <row r="846" ht="14.25" customHeight="1" spans="1:14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</row>
    <row r="847" ht="14.25" customHeight="1" spans="1:14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</row>
    <row r="848" ht="14.25" customHeight="1" spans="1:14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</row>
    <row r="849" ht="14.25" customHeight="1" spans="1:14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</row>
    <row r="850" ht="14.25" customHeight="1" spans="1:14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</row>
    <row r="851" ht="14.25" customHeight="1" spans="1:14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</row>
    <row r="852" ht="14.25" customHeight="1" spans="1:14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</row>
    <row r="853" ht="14.25" customHeight="1" spans="1:14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</row>
    <row r="854" ht="14.25" customHeight="1" spans="1:1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</row>
    <row r="855" ht="14.25" customHeight="1" spans="1:14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</row>
    <row r="856" ht="14.25" customHeight="1" spans="1:14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</row>
    <row r="857" ht="14.25" customHeight="1" spans="1:14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</row>
    <row r="858" ht="14.25" customHeight="1" spans="1:14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</row>
    <row r="859" ht="14.25" customHeight="1" spans="1:14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</row>
    <row r="860" ht="14.25" customHeight="1" spans="1:14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</row>
    <row r="861" ht="14.25" customHeight="1" spans="1:14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</row>
    <row r="862" ht="14.25" customHeight="1" spans="1:14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</row>
    <row r="863" ht="14.25" customHeight="1" spans="1:14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</row>
    <row r="864" ht="14.25" customHeight="1" spans="1:1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</row>
    <row r="865" ht="14.25" customHeight="1" spans="1:14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</row>
    <row r="866" ht="14.25" customHeight="1" spans="1:14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</row>
    <row r="867" ht="14.25" customHeight="1" spans="1:14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</row>
    <row r="868" ht="14.25" customHeight="1" spans="1:14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</row>
    <row r="869" ht="14.25" customHeight="1" spans="1:14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</row>
    <row r="870" ht="14.25" customHeight="1" spans="1:14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</row>
    <row r="871" ht="14.25" customHeight="1" spans="1:14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</row>
    <row r="872" ht="14.25" customHeight="1" spans="1:14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</row>
    <row r="873" ht="14.25" customHeight="1" spans="1:14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</row>
    <row r="874" ht="14.25" customHeight="1" spans="1:1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</row>
    <row r="875" ht="14.25" customHeight="1" spans="1:14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</row>
    <row r="876" ht="14.25" customHeight="1" spans="1:14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</row>
    <row r="877" ht="14.25" customHeight="1" spans="1:14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</row>
    <row r="878" ht="14.25" customHeight="1" spans="1:14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</row>
    <row r="879" ht="14.25" customHeight="1" spans="1:14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</row>
    <row r="880" ht="14.25" customHeight="1" spans="1:14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</row>
    <row r="881" ht="14.25" customHeight="1" spans="1:14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</row>
    <row r="882" ht="14.25" customHeight="1" spans="1:14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</row>
    <row r="883" ht="14.25" customHeight="1" spans="1:14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</row>
    <row r="884" ht="14.25" customHeight="1" spans="1:1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</row>
    <row r="885" ht="14.25" customHeight="1" spans="1:14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</row>
    <row r="886" ht="14.25" customHeight="1" spans="1:14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</row>
    <row r="887" ht="14.25" customHeight="1" spans="1:14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</row>
    <row r="888" ht="14.25" customHeight="1" spans="1:14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</row>
    <row r="889" ht="14.25" customHeight="1" spans="1:14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</row>
    <row r="890" ht="14.25" customHeight="1" spans="1:14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</row>
    <row r="891" ht="14.25" customHeight="1" spans="1:14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</row>
    <row r="892" ht="14.25" customHeight="1" spans="1:14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</row>
    <row r="893" ht="14.25" customHeight="1" spans="1:14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</row>
    <row r="894" ht="14.25" customHeight="1" spans="1:1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</row>
    <row r="895" ht="14.25" customHeight="1" spans="1:14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</row>
    <row r="896" ht="14.25" customHeight="1" spans="1:14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</row>
    <row r="897" ht="14.25" customHeight="1" spans="1:14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</row>
    <row r="898" ht="14.25" customHeight="1" spans="1:14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</row>
    <row r="899" ht="14.25" customHeight="1" spans="1:14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</row>
    <row r="900" ht="14.25" customHeight="1" spans="1:14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</row>
    <row r="901" ht="14.25" customHeight="1" spans="1:14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</row>
    <row r="902" ht="14.25" customHeight="1" spans="1:14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</row>
    <row r="903" ht="14.25" customHeight="1" spans="1:14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</row>
    <row r="904" ht="14.25" customHeight="1" spans="1:1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</row>
    <row r="905" ht="14.25" customHeight="1" spans="1:14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</row>
    <row r="906" ht="14.25" customHeight="1" spans="1:14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</row>
    <row r="907" ht="14.25" customHeight="1" spans="1:14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</row>
    <row r="908" ht="14.25" customHeight="1" spans="1:14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</row>
    <row r="909" ht="14.25" customHeight="1" spans="1:14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</row>
    <row r="910" ht="14.25" customHeight="1" spans="1:14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</row>
    <row r="911" ht="14.25" customHeight="1" spans="1:14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</row>
    <row r="912" ht="14.25" customHeight="1" spans="1:14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</row>
    <row r="913" ht="14.25" customHeight="1" spans="1:14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</row>
    <row r="914" ht="14.25" customHeight="1" spans="1: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</row>
    <row r="915" ht="14.25" customHeight="1" spans="1:14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</row>
    <row r="916" ht="14.25" customHeight="1" spans="1:14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</row>
    <row r="917" ht="14.25" customHeight="1" spans="1:14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</row>
    <row r="918" ht="14.25" customHeight="1" spans="1:14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</row>
    <row r="919" ht="14.25" customHeight="1" spans="1:14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</row>
    <row r="920" ht="14.25" customHeight="1" spans="1:14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</row>
    <row r="921" ht="14.25" customHeight="1" spans="1:14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</row>
    <row r="922" ht="14.25" customHeight="1" spans="1:14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</row>
    <row r="923" ht="14.25" customHeight="1" spans="1:14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</row>
    <row r="924" ht="14.25" customHeight="1" spans="1:1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</row>
    <row r="925" ht="14.25" customHeight="1" spans="1:14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</row>
    <row r="926" ht="14.25" customHeight="1" spans="1:14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</row>
    <row r="927" ht="14.25" customHeight="1" spans="1:14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</row>
    <row r="928" ht="14.25" customHeight="1" spans="1:14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</row>
    <row r="929" ht="14.25" customHeight="1" spans="1:14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</row>
    <row r="930" ht="14.25" customHeight="1" spans="1:14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</row>
    <row r="931" ht="14.25" customHeight="1" spans="1:14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</row>
    <row r="932" ht="14.25" customHeight="1" spans="1:14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</row>
    <row r="933" ht="14.25" customHeight="1" spans="1:14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</row>
    <row r="934" ht="14.25" customHeight="1" spans="1:1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</row>
    <row r="935" ht="14.25" customHeight="1" spans="1:14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</row>
    <row r="936" ht="14.25" customHeight="1" spans="1:14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</row>
    <row r="937" ht="14.25" customHeight="1" spans="1:14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</row>
    <row r="938" ht="14.25" customHeight="1" spans="1:14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</row>
    <row r="939" ht="14.25" customHeight="1" spans="1:14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</row>
    <row r="940" ht="14.25" customHeight="1" spans="1:14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</row>
    <row r="941" ht="14.25" customHeight="1" spans="1:14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</row>
    <row r="942" ht="14.25" customHeight="1" spans="1:14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</row>
    <row r="943" ht="14.25" customHeight="1" spans="1:14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</row>
    <row r="944" ht="14.25" customHeight="1" spans="1:1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</row>
    <row r="945" ht="14.25" customHeight="1" spans="1:14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</row>
    <row r="946" ht="14.25" customHeight="1" spans="1:14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</row>
    <row r="947" ht="14.25" customHeight="1" spans="1:14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</row>
    <row r="948" ht="14.25" customHeight="1" spans="1:14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</row>
    <row r="949" ht="14.25" customHeight="1" spans="1:14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</row>
    <row r="950" ht="14.25" customHeight="1" spans="1:14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</row>
    <row r="951" ht="14.25" customHeight="1" spans="1:14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</row>
    <row r="952" ht="14.25" customHeight="1" spans="1:14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</row>
    <row r="953" ht="14.25" customHeight="1" spans="1:14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</row>
    <row r="954" ht="14.25" customHeight="1" spans="1:1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</row>
    <row r="955" ht="14.25" customHeight="1" spans="1:14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</row>
    <row r="956" ht="14.25" customHeight="1" spans="1:14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</row>
    <row r="957" ht="14.25" customHeight="1" spans="1:14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</row>
    <row r="958" ht="14.25" customHeight="1" spans="1:14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</row>
    <row r="959" ht="14.25" customHeight="1" spans="1:14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</row>
    <row r="960" ht="14.25" customHeight="1" spans="1:14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</row>
    <row r="961" ht="14.25" customHeight="1" spans="1:14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</row>
    <row r="962" ht="14.25" customHeight="1" spans="1:14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</row>
    <row r="963" ht="14.25" customHeight="1" spans="1:14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</row>
    <row r="964" ht="14.25" customHeight="1" spans="1:1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</row>
    <row r="965" ht="14.25" customHeight="1" spans="1:14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</row>
    <row r="966" ht="14.25" customHeight="1" spans="1:14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</row>
    <row r="967" ht="14.25" customHeight="1" spans="1:14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</row>
    <row r="968" ht="14.25" customHeight="1" spans="1:14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</row>
    <row r="969" ht="14.25" customHeight="1" spans="1:14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</row>
    <row r="970" ht="14.25" customHeight="1" spans="1:14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</row>
    <row r="971" ht="14.25" customHeight="1" spans="1:14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</row>
    <row r="972" ht="14.25" customHeight="1" spans="1:14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</row>
    <row r="973" ht="14.25" customHeight="1" spans="1:14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</row>
    <row r="974" ht="14.25" customHeight="1" spans="1:1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</row>
    <row r="975" ht="14.25" customHeight="1" spans="1:14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</row>
    <row r="976" ht="14.25" customHeight="1" spans="1:14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</row>
    <row r="977" ht="14.25" customHeight="1" spans="1:14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</row>
    <row r="978" ht="14.25" customHeight="1" spans="1:14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</row>
    <row r="979" ht="14.25" customHeight="1" spans="1:14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</row>
    <row r="980" ht="14.25" customHeight="1" spans="1:14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</row>
    <row r="981" ht="14.25" customHeight="1" spans="1:14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</row>
    <row r="982" ht="14.25" customHeight="1" spans="1:14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</row>
    <row r="983" ht="14.25" customHeight="1" spans="1:14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</row>
    <row r="984" ht="14.25" customHeight="1" spans="1:1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</row>
    <row r="985" ht="14.25" customHeight="1" spans="1:14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</row>
    <row r="986" ht="14.25" customHeight="1" spans="1:14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</row>
    <row r="987" ht="14.25" customHeight="1" spans="1:14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</row>
    <row r="988" ht="14.25" customHeight="1" spans="1:14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</row>
    <row r="989" ht="14.25" customHeight="1" spans="1:14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</row>
    <row r="990" ht="14.25" customHeight="1" spans="1:14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</row>
    <row r="991" ht="14.25" customHeight="1" spans="1:14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</row>
    <row r="992" ht="14.25" customHeight="1" spans="1:14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</row>
    <row r="993" ht="14.25" customHeight="1" spans="1:14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</row>
    <row r="994" ht="14.25" customHeight="1" spans="1:1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</row>
    <row r="995" ht="14.25" customHeight="1" spans="1:14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</row>
    <row r="996" ht="14.25" customHeight="1" spans="1:14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</row>
    <row r="997" ht="14.25" customHeight="1" spans="1:14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</row>
    <row r="998" ht="14.25" customHeight="1" spans="1:14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</row>
    <row r="999" ht="14.25" customHeight="1" spans="1:14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</row>
    <row r="1000" ht="14.25" customHeight="1" spans="1:14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</row>
    <row r="1001" ht="14.25" customHeight="1" spans="1:14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</row>
    <row r="1002" ht="14.25" customHeight="1" spans="1:14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</row>
    <row r="1003" ht="14.25" customHeight="1" spans="1:14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</row>
    <row r="1004" ht="14.25" customHeight="1" spans="1:14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</row>
    <row r="1005" ht="14.25" customHeight="1" spans="1:14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</row>
    <row r="1006" ht="14.25" customHeight="1" spans="1:14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</row>
    <row r="1007" ht="14.25" customHeight="1" spans="1:14">
      <c r="A1007" s="50"/>
      <c r="B1007" s="5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</row>
    <row r="1008" ht="14.25" customHeight="1" spans="1:14">
      <c r="A1008" s="50"/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</row>
    <row r="1009" ht="14.25" customHeight="1" spans="1:14">
      <c r="A1009" s="50"/>
      <c r="B1009" s="50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</row>
    <row r="1010" ht="14.25" customHeight="1" spans="1:14">
      <c r="A1010" s="50"/>
      <c r="B1010" s="50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</row>
    <row r="1011" ht="14.25" customHeight="1" spans="1:14">
      <c r="A1011" s="50"/>
      <c r="B1011" s="50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</row>
    <row r="1012" ht="14.25" customHeight="1" spans="1:14">
      <c r="A1012" s="50"/>
      <c r="B1012" s="50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</row>
    <row r="1013" ht="14.25" customHeight="1" spans="1:14">
      <c r="A1013" s="50"/>
      <c r="B1013" s="50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</row>
    <row r="1014" ht="14.25" customHeight="1" spans="1:14">
      <c r="A1014" s="50"/>
      <c r="B1014" s="50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</row>
    <row r="1015" ht="14.25" customHeight="1" spans="1:14">
      <c r="A1015" s="50"/>
      <c r="B1015" s="50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</row>
    <row r="1016" ht="14.25" customHeight="1" spans="1:14">
      <c r="A1016" s="50"/>
      <c r="B1016" s="50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</row>
    <row r="1017" ht="14.25" customHeight="1" spans="1:14">
      <c r="A1017" s="50"/>
      <c r="B1017" s="50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</row>
    <row r="1018" ht="14.25" customHeight="1" spans="1:14">
      <c r="A1018" s="50"/>
      <c r="B1018" s="50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</row>
    <row r="1019" ht="14.25" customHeight="1" spans="1:14">
      <c r="A1019" s="50"/>
      <c r="B1019" s="50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0"/>
    </row>
    <row r="1020" ht="14.25" customHeight="1" spans="1:14">
      <c r="A1020" s="50"/>
      <c r="B1020" s="50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</row>
    <row r="1021" ht="14.25" customHeight="1" spans="1:14">
      <c r="A1021" s="50"/>
      <c r="B1021" s="50"/>
      <c r="C1021" s="50"/>
      <c r="D1021" s="50"/>
      <c r="E1021" s="50"/>
      <c r="F1021" s="50"/>
      <c r="G1021" s="50"/>
      <c r="H1021" s="50"/>
      <c r="I1021" s="50"/>
      <c r="J1021" s="50"/>
      <c r="K1021" s="50"/>
      <c r="L1021" s="50"/>
      <c r="M1021" s="50"/>
      <c r="N1021" s="50"/>
    </row>
    <row r="1022" ht="14.25" customHeight="1" spans="1:14">
      <c r="A1022" s="50"/>
      <c r="B1022" s="50"/>
      <c r="C1022" s="50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0"/>
    </row>
    <row r="1023" ht="14.25" customHeight="1" spans="1:14">
      <c r="A1023" s="50"/>
      <c r="B1023" s="50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</row>
    <row r="1024" ht="14.25" customHeight="1" spans="1:14">
      <c r="A1024" s="50"/>
      <c r="B1024" s="50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</row>
    <row r="1025" ht="14.25" customHeight="1" spans="1:14">
      <c r="A1025" s="50"/>
      <c r="B1025" s="50"/>
      <c r="C1025" s="50"/>
      <c r="D1025" s="50"/>
      <c r="E1025" s="50"/>
      <c r="F1025" s="50"/>
      <c r="G1025" s="50"/>
      <c r="H1025" s="50"/>
      <c r="I1025" s="50"/>
      <c r="J1025" s="50"/>
      <c r="K1025" s="50"/>
      <c r="L1025" s="50"/>
      <c r="M1025" s="50"/>
      <c r="N1025" s="50"/>
    </row>
    <row r="1026" ht="14.25" customHeight="1" spans="1:14">
      <c r="A1026" s="50"/>
      <c r="B1026" s="50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0"/>
    </row>
    <row r="1027" ht="14.25" customHeight="1" spans="1:14">
      <c r="A1027" s="50"/>
      <c r="B1027" s="50"/>
      <c r="C1027" s="50"/>
      <c r="D1027" s="50"/>
      <c r="E1027" s="50"/>
      <c r="F1027" s="50"/>
      <c r="G1027" s="50"/>
      <c r="H1027" s="50"/>
      <c r="I1027" s="50"/>
      <c r="J1027" s="50"/>
      <c r="K1027" s="50"/>
      <c r="L1027" s="50"/>
      <c r="M1027" s="50"/>
      <c r="N1027" s="50"/>
    </row>
    <row r="1028" ht="14.25" customHeight="1" spans="1:14">
      <c r="A1028" s="50"/>
      <c r="B1028" s="50"/>
      <c r="C1028" s="50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</row>
    <row r="1029" ht="14.25" customHeight="1" spans="1:14">
      <c r="A1029" s="50"/>
      <c r="B1029" s="50"/>
      <c r="C1029" s="50"/>
      <c r="D1029" s="50"/>
      <c r="E1029" s="50"/>
      <c r="F1029" s="50"/>
      <c r="G1029" s="50"/>
      <c r="H1029" s="50"/>
      <c r="I1029" s="50"/>
      <c r="J1029" s="50"/>
      <c r="K1029" s="50"/>
      <c r="L1029" s="50"/>
      <c r="M1029" s="50"/>
      <c r="N1029" s="50"/>
    </row>
    <row r="1030" ht="14.25" customHeight="1" spans="1:14">
      <c r="A1030" s="50"/>
      <c r="B1030" s="50"/>
      <c r="C1030" s="50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0"/>
    </row>
    <row r="1031" ht="14.25" customHeight="1" spans="1:14">
      <c r="A1031" s="50"/>
      <c r="B1031" s="50"/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</row>
    <row r="1032" ht="14.25" customHeight="1" spans="1:14">
      <c r="A1032" s="50"/>
      <c r="B1032" s="50"/>
      <c r="C1032" s="50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</row>
    <row r="1033" ht="14.25" customHeight="1" spans="1:14">
      <c r="A1033" s="50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/>
      <c r="L1033" s="50"/>
      <c r="M1033" s="50"/>
      <c r="N1033" s="50"/>
    </row>
    <row r="1034" ht="14.25" customHeight="1" spans="1:14">
      <c r="A1034" s="50"/>
      <c r="B1034" s="50"/>
      <c r="C1034" s="50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0"/>
    </row>
    <row r="1035" ht="14.25" customHeight="1" spans="1:14">
      <c r="A1035" s="50"/>
      <c r="B1035" s="50"/>
      <c r="C1035" s="50"/>
      <c r="D1035" s="50"/>
      <c r="E1035" s="50"/>
      <c r="F1035" s="50"/>
      <c r="G1035" s="50"/>
      <c r="H1035" s="50"/>
      <c r="I1035" s="50"/>
      <c r="J1035" s="50"/>
      <c r="K1035" s="50"/>
      <c r="L1035" s="50"/>
      <c r="M1035" s="50"/>
      <c r="N1035" s="50"/>
    </row>
    <row r="1036" ht="14.25" customHeight="1" spans="1:14">
      <c r="A1036" s="50"/>
      <c r="B1036" s="50"/>
      <c r="C1036" s="50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</row>
    <row r="1037" ht="14.25" customHeight="1" spans="1:14">
      <c r="A1037" s="50"/>
      <c r="B1037" s="50"/>
      <c r="C1037" s="50"/>
      <c r="D1037" s="50"/>
      <c r="E1037" s="50"/>
      <c r="F1037" s="50"/>
      <c r="G1037" s="50"/>
      <c r="H1037" s="50"/>
      <c r="I1037" s="50"/>
      <c r="J1037" s="50"/>
      <c r="K1037" s="50"/>
      <c r="L1037" s="50"/>
      <c r="M1037" s="50"/>
      <c r="N1037" s="50"/>
    </row>
    <row r="1038" ht="14.25" customHeight="1" spans="1:14">
      <c r="A1038" s="50"/>
      <c r="B1038" s="50"/>
      <c r="C1038" s="50"/>
      <c r="D1038" s="50"/>
      <c r="E1038" s="50"/>
      <c r="F1038" s="50"/>
      <c r="G1038" s="50"/>
      <c r="H1038" s="50"/>
      <c r="I1038" s="50"/>
      <c r="J1038" s="50"/>
      <c r="K1038" s="50"/>
      <c r="L1038" s="50"/>
      <c r="M1038" s="50"/>
      <c r="N1038" s="50"/>
    </row>
    <row r="1039" ht="14.25" customHeight="1" spans="1:14">
      <c r="A1039" s="50"/>
      <c r="B1039" s="50"/>
      <c r="C1039" s="50"/>
      <c r="D1039" s="50"/>
      <c r="E1039" s="50"/>
      <c r="F1039" s="50"/>
      <c r="G1039" s="50"/>
      <c r="H1039" s="50"/>
      <c r="I1039" s="50"/>
      <c r="J1039" s="50"/>
      <c r="K1039" s="50"/>
      <c r="L1039" s="50"/>
      <c r="M1039" s="50"/>
      <c r="N1039" s="50"/>
    </row>
    <row r="1040" ht="14.25" customHeight="1" spans="1:14">
      <c r="A1040" s="50"/>
      <c r="B1040" s="50"/>
      <c r="C1040" s="50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</row>
    <row r="1041" ht="14.25" customHeight="1" spans="1:14">
      <c r="A1041" s="50"/>
      <c r="B1041" s="50"/>
      <c r="C1041" s="50"/>
      <c r="D1041" s="50"/>
      <c r="E1041" s="50"/>
      <c r="F1041" s="50"/>
      <c r="G1041" s="50"/>
      <c r="H1041" s="50"/>
      <c r="I1041" s="50"/>
      <c r="J1041" s="50"/>
      <c r="K1041" s="50"/>
      <c r="L1041" s="50"/>
      <c r="M1041" s="50"/>
      <c r="N1041" s="50"/>
    </row>
    <row r="1042" ht="14.25" customHeight="1" spans="1:14">
      <c r="A1042" s="50"/>
      <c r="B1042" s="50"/>
      <c r="C1042" s="50"/>
      <c r="D1042" s="50"/>
      <c r="E1042" s="50"/>
      <c r="F1042" s="50"/>
      <c r="G1042" s="50"/>
      <c r="H1042" s="50"/>
      <c r="I1042" s="50"/>
      <c r="J1042" s="50"/>
      <c r="K1042" s="50"/>
      <c r="L1042" s="50"/>
      <c r="M1042" s="50"/>
      <c r="N1042" s="50"/>
    </row>
    <row r="1043" ht="14.25" customHeight="1" spans="1:14">
      <c r="A1043" s="50"/>
      <c r="B1043" s="50"/>
      <c r="C1043" s="50"/>
      <c r="D1043" s="50"/>
      <c r="E1043" s="50"/>
      <c r="F1043" s="50"/>
      <c r="G1043" s="50"/>
      <c r="H1043" s="50"/>
      <c r="I1043" s="50"/>
      <c r="J1043" s="50"/>
      <c r="K1043" s="50"/>
      <c r="L1043" s="50"/>
      <c r="M1043" s="50"/>
      <c r="N1043" s="50"/>
    </row>
    <row r="1044" ht="14.25" customHeight="1" spans="1:14">
      <c r="A1044" s="50"/>
      <c r="B1044" s="50"/>
      <c r="C1044" s="50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</row>
    <row r="1045" ht="14.25" customHeight="1" spans="1:14">
      <c r="A1045" s="50"/>
      <c r="B1045" s="50"/>
      <c r="C1045" s="50"/>
      <c r="D1045" s="50"/>
      <c r="E1045" s="50"/>
      <c r="F1045" s="50"/>
      <c r="G1045" s="50"/>
      <c r="H1045" s="50"/>
      <c r="I1045" s="50"/>
      <c r="J1045" s="50"/>
      <c r="K1045" s="50"/>
      <c r="L1045" s="50"/>
      <c r="M1045" s="50"/>
      <c r="N1045" s="50"/>
    </row>
    <row r="1046" ht="14.25" customHeight="1" spans="1:14">
      <c r="A1046" s="50"/>
      <c r="B1046" s="50"/>
      <c r="C1046" s="50"/>
      <c r="D1046" s="50"/>
      <c r="E1046" s="50"/>
      <c r="F1046" s="50"/>
      <c r="G1046" s="50"/>
      <c r="H1046" s="50"/>
      <c r="I1046" s="50"/>
      <c r="J1046" s="50"/>
      <c r="K1046" s="50"/>
      <c r="L1046" s="50"/>
      <c r="M1046" s="50"/>
      <c r="N1046" s="50"/>
    </row>
    <row r="1047" ht="14.25" customHeight="1" spans="1:14">
      <c r="A1047" s="50"/>
      <c r="B1047" s="50"/>
      <c r="C1047" s="50"/>
      <c r="D1047" s="50"/>
      <c r="E1047" s="50"/>
      <c r="F1047" s="50"/>
      <c r="G1047" s="50"/>
      <c r="H1047" s="50"/>
      <c r="I1047" s="50"/>
      <c r="J1047" s="50"/>
      <c r="K1047" s="50"/>
      <c r="L1047" s="50"/>
      <c r="M1047" s="50"/>
      <c r="N1047" s="50"/>
    </row>
    <row r="1048" ht="14.25" customHeight="1" spans="1:14">
      <c r="A1048" s="50"/>
      <c r="B1048" s="50"/>
      <c r="C1048" s="50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</row>
    <row r="1049" ht="14.25" customHeight="1" spans="1:14">
      <c r="A1049" s="50"/>
      <c r="B1049" s="50"/>
      <c r="C1049" s="50"/>
      <c r="D1049" s="50"/>
      <c r="E1049" s="50"/>
      <c r="F1049" s="50"/>
      <c r="G1049" s="50"/>
      <c r="H1049" s="50"/>
      <c r="I1049" s="50"/>
      <c r="J1049" s="50"/>
      <c r="K1049" s="50"/>
      <c r="L1049" s="50"/>
      <c r="M1049" s="50"/>
      <c r="N1049" s="50"/>
    </row>
    <row r="1050" ht="14.25" customHeight="1" spans="1:14">
      <c r="A1050" s="50"/>
      <c r="B1050" s="50"/>
      <c r="C1050" s="50"/>
      <c r="D1050" s="50"/>
      <c r="E1050" s="50"/>
      <c r="F1050" s="50"/>
      <c r="G1050" s="50"/>
      <c r="H1050" s="50"/>
      <c r="I1050" s="50"/>
      <c r="J1050" s="50"/>
      <c r="K1050" s="50"/>
      <c r="L1050" s="50"/>
      <c r="M1050" s="50"/>
      <c r="N1050" s="50"/>
    </row>
    <row r="1051" ht="14.25" customHeight="1" spans="1:14">
      <c r="A1051" s="50"/>
      <c r="B1051" s="50"/>
      <c r="C1051" s="50"/>
      <c r="D1051" s="50"/>
      <c r="E1051" s="50"/>
      <c r="F1051" s="50"/>
      <c r="G1051" s="50"/>
      <c r="H1051" s="50"/>
      <c r="I1051" s="50"/>
      <c r="J1051" s="50"/>
      <c r="K1051" s="50"/>
      <c r="L1051" s="50"/>
      <c r="M1051" s="50"/>
      <c r="N1051" s="50"/>
    </row>
    <row r="1052" ht="14.25" customHeight="1" spans="1:14">
      <c r="A1052" s="50"/>
      <c r="B1052" s="50"/>
      <c r="C1052" s="50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</row>
    <row r="1053" ht="14.25" customHeight="1" spans="1:14">
      <c r="A1053" s="50"/>
      <c r="B1053" s="50"/>
      <c r="C1053" s="50"/>
      <c r="D1053" s="50"/>
      <c r="E1053" s="50"/>
      <c r="F1053" s="50"/>
      <c r="G1053" s="50"/>
      <c r="H1053" s="50"/>
      <c r="I1053" s="50"/>
      <c r="J1053" s="50"/>
      <c r="K1053" s="50"/>
      <c r="L1053" s="50"/>
      <c r="M1053" s="50"/>
      <c r="N1053" s="50"/>
    </row>
    <row r="1054" ht="14.25" customHeight="1" spans="1:14">
      <c r="A1054" s="50"/>
      <c r="B1054" s="50"/>
      <c r="C1054" s="50"/>
      <c r="D1054" s="50"/>
      <c r="E1054" s="50"/>
      <c r="F1054" s="50"/>
      <c r="G1054" s="50"/>
      <c r="H1054" s="50"/>
      <c r="I1054" s="50"/>
      <c r="J1054" s="50"/>
      <c r="K1054" s="50"/>
      <c r="L1054" s="50"/>
      <c r="M1054" s="50"/>
      <c r="N1054" s="50"/>
    </row>
    <row r="1055" ht="14.25" customHeight="1" spans="1:14">
      <c r="A1055" s="50"/>
      <c r="B1055" s="50"/>
      <c r="C1055" s="50"/>
      <c r="D1055" s="50"/>
      <c r="E1055" s="50"/>
      <c r="F1055" s="50"/>
      <c r="G1055" s="50"/>
      <c r="H1055" s="50"/>
      <c r="I1055" s="50"/>
      <c r="J1055" s="50"/>
      <c r="K1055" s="50"/>
      <c r="L1055" s="50"/>
      <c r="M1055" s="50"/>
      <c r="N1055" s="50"/>
    </row>
    <row r="1056" ht="14.25" customHeight="1" spans="1:14">
      <c r="A1056" s="50"/>
      <c r="B1056" s="50"/>
      <c r="C1056" s="50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</row>
    <row r="1057" ht="14.25" customHeight="1" spans="1:14">
      <c r="A1057" s="50"/>
      <c r="B1057" s="50"/>
      <c r="C1057" s="50"/>
      <c r="D1057" s="50"/>
      <c r="E1057" s="50"/>
      <c r="F1057" s="50"/>
      <c r="G1057" s="50"/>
      <c r="H1057" s="50"/>
      <c r="I1057" s="50"/>
      <c r="J1057" s="50"/>
      <c r="K1057" s="50"/>
      <c r="L1057" s="50"/>
      <c r="M1057" s="50"/>
      <c r="N1057" s="50"/>
    </row>
    <row r="1058" ht="14.25" customHeight="1" spans="1:14">
      <c r="A1058" s="50"/>
      <c r="B1058" s="50"/>
      <c r="C1058" s="50"/>
      <c r="D1058" s="50"/>
      <c r="E1058" s="50"/>
      <c r="F1058" s="50"/>
      <c r="G1058" s="50"/>
      <c r="H1058" s="50"/>
      <c r="I1058" s="50"/>
      <c r="J1058" s="50"/>
      <c r="K1058" s="50"/>
      <c r="L1058" s="50"/>
      <c r="M1058" s="50"/>
      <c r="N1058" s="50"/>
    </row>
    <row r="1059" ht="14.25" customHeight="1" spans="1:14">
      <c r="A1059" s="50"/>
      <c r="B1059" s="50"/>
      <c r="C1059" s="50"/>
      <c r="D1059" s="50"/>
      <c r="E1059" s="50"/>
      <c r="F1059" s="50"/>
      <c r="G1059" s="50"/>
      <c r="H1059" s="50"/>
      <c r="I1059" s="50"/>
      <c r="J1059" s="50"/>
      <c r="K1059" s="50"/>
      <c r="L1059" s="50"/>
      <c r="M1059" s="50"/>
      <c r="N1059" s="50"/>
    </row>
    <row r="1060" ht="14.25" customHeight="1" spans="1:14">
      <c r="A1060" s="50"/>
      <c r="B1060" s="50"/>
      <c r="C1060" s="50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</row>
    <row r="1061" ht="14.25" customHeight="1" spans="1:14">
      <c r="A1061" s="50"/>
      <c r="B1061" s="50"/>
      <c r="C1061" s="50"/>
      <c r="D1061" s="50"/>
      <c r="E1061" s="50"/>
      <c r="F1061" s="50"/>
      <c r="G1061" s="50"/>
      <c r="H1061" s="50"/>
      <c r="I1061" s="50"/>
      <c r="J1061" s="50"/>
      <c r="K1061" s="50"/>
      <c r="L1061" s="50"/>
      <c r="M1061" s="50"/>
      <c r="N1061" s="50"/>
    </row>
    <row r="1062" ht="14.25" customHeight="1" spans="1:14">
      <c r="A1062" s="50"/>
      <c r="B1062" s="50"/>
      <c r="C1062" s="50"/>
      <c r="D1062" s="50"/>
      <c r="E1062" s="50"/>
      <c r="F1062" s="50"/>
      <c r="G1062" s="50"/>
      <c r="H1062" s="50"/>
      <c r="I1062" s="50"/>
      <c r="J1062" s="50"/>
      <c r="K1062" s="50"/>
      <c r="L1062" s="50"/>
      <c r="M1062" s="50"/>
      <c r="N1062" s="50"/>
    </row>
    <row r="1063" ht="14.25" customHeight="1" spans="1:14">
      <c r="A1063" s="50"/>
      <c r="B1063" s="50"/>
      <c r="C1063" s="50"/>
      <c r="D1063" s="50"/>
      <c r="E1063" s="50"/>
      <c r="F1063" s="50"/>
      <c r="G1063" s="50"/>
      <c r="H1063" s="50"/>
      <c r="I1063" s="50"/>
      <c r="J1063" s="50"/>
      <c r="K1063" s="50"/>
      <c r="L1063" s="50"/>
      <c r="M1063" s="50"/>
      <c r="N1063" s="50"/>
    </row>
    <row r="1064" ht="14.25" customHeight="1" spans="1:14">
      <c r="A1064" s="50"/>
      <c r="B1064" s="50"/>
      <c r="C1064" s="50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</row>
    <row r="1065" ht="14.25" customHeight="1" spans="1:14">
      <c r="A1065" s="50"/>
      <c r="B1065" s="50"/>
      <c r="C1065" s="50"/>
      <c r="D1065" s="50"/>
      <c r="E1065" s="50"/>
      <c r="F1065" s="50"/>
      <c r="G1065" s="50"/>
      <c r="H1065" s="50"/>
      <c r="I1065" s="50"/>
      <c r="J1065" s="50"/>
      <c r="K1065" s="50"/>
      <c r="L1065" s="50"/>
      <c r="M1065" s="50"/>
      <c r="N1065" s="50"/>
    </row>
    <row r="1066" ht="14.25" customHeight="1" spans="1:14">
      <c r="A1066" s="50"/>
      <c r="B1066" s="50"/>
      <c r="C1066" s="50"/>
      <c r="D1066" s="50"/>
      <c r="E1066" s="50"/>
      <c r="F1066" s="50"/>
      <c r="G1066" s="50"/>
      <c r="H1066" s="50"/>
      <c r="I1066" s="50"/>
      <c r="J1066" s="50"/>
      <c r="K1066" s="50"/>
      <c r="L1066" s="50"/>
      <c r="M1066" s="50"/>
      <c r="N1066" s="50"/>
    </row>
    <row r="1067" ht="14.25" customHeight="1" spans="1:14">
      <c r="A1067" s="50"/>
      <c r="B1067" s="50"/>
      <c r="C1067" s="50"/>
      <c r="D1067" s="50"/>
      <c r="E1067" s="50"/>
      <c r="F1067" s="50"/>
      <c r="G1067" s="50"/>
      <c r="H1067" s="50"/>
      <c r="I1067" s="50"/>
      <c r="J1067" s="50"/>
      <c r="K1067" s="50"/>
      <c r="L1067" s="50"/>
      <c r="M1067" s="50"/>
      <c r="N1067" s="50"/>
    </row>
    <row r="1068" ht="14.25" customHeight="1" spans="1:14">
      <c r="A1068" s="50"/>
      <c r="B1068" s="50"/>
      <c r="C1068" s="50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</row>
    <row r="1069" ht="14.25" customHeight="1" spans="1:14">
      <c r="A1069" s="50"/>
      <c r="B1069" s="50"/>
      <c r="C1069" s="50"/>
      <c r="D1069" s="50"/>
      <c r="E1069" s="50"/>
      <c r="F1069" s="50"/>
      <c r="G1069" s="50"/>
      <c r="H1069" s="50"/>
      <c r="I1069" s="50"/>
      <c r="J1069" s="50"/>
      <c r="K1069" s="50"/>
      <c r="L1069" s="50"/>
      <c r="M1069" s="50"/>
      <c r="N1069" s="50"/>
    </row>
    <row r="1070" ht="14.25" customHeight="1" spans="1:14">
      <c r="A1070" s="50"/>
      <c r="B1070" s="50"/>
      <c r="C1070" s="50"/>
      <c r="D1070" s="50"/>
      <c r="E1070" s="50"/>
      <c r="F1070" s="50"/>
      <c r="G1070" s="50"/>
      <c r="H1070" s="50"/>
      <c r="I1070" s="50"/>
      <c r="J1070" s="50"/>
      <c r="K1070" s="50"/>
      <c r="L1070" s="50"/>
      <c r="M1070" s="50"/>
      <c r="N1070" s="50"/>
    </row>
    <row r="1071" ht="14.25" customHeight="1" spans="1:14">
      <c r="A1071" s="50"/>
      <c r="B1071" s="50"/>
      <c r="C1071" s="50"/>
      <c r="D1071" s="50"/>
      <c r="E1071" s="50"/>
      <c r="F1071" s="50"/>
      <c r="G1071" s="50"/>
      <c r="H1071" s="50"/>
      <c r="I1071" s="50"/>
      <c r="J1071" s="50"/>
      <c r="K1071" s="50"/>
      <c r="L1071" s="50"/>
      <c r="M1071" s="50"/>
      <c r="N1071" s="50"/>
    </row>
    <row r="1072" ht="14.25" customHeight="1" spans="1:14">
      <c r="A1072" s="50"/>
      <c r="B1072" s="50"/>
      <c r="C1072" s="50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</row>
    <row r="1073" ht="14.25" customHeight="1" spans="1:14">
      <c r="A1073" s="50"/>
      <c r="B1073" s="50"/>
      <c r="C1073" s="50"/>
      <c r="D1073" s="50"/>
      <c r="E1073" s="50"/>
      <c r="F1073" s="50"/>
      <c r="G1073" s="50"/>
      <c r="H1073" s="50"/>
      <c r="I1073" s="50"/>
      <c r="J1073" s="50"/>
      <c r="K1073" s="50"/>
      <c r="L1073" s="50"/>
      <c r="M1073" s="50"/>
      <c r="N1073" s="50"/>
    </row>
    <row r="1074" ht="14.25" customHeight="1" spans="1:14">
      <c r="A1074" s="50"/>
      <c r="B1074" s="50"/>
      <c r="C1074" s="50"/>
      <c r="D1074" s="50"/>
      <c r="E1074" s="50"/>
      <c r="F1074" s="50"/>
      <c r="G1074" s="50"/>
      <c r="H1074" s="50"/>
      <c r="I1074" s="50"/>
      <c r="J1074" s="50"/>
      <c r="K1074" s="50"/>
      <c r="L1074" s="50"/>
      <c r="M1074" s="50"/>
      <c r="N1074" s="50"/>
    </row>
    <row r="1075" ht="14.25" customHeight="1" spans="1:14">
      <c r="A1075" s="50"/>
      <c r="B1075" s="50"/>
      <c r="C1075" s="50"/>
      <c r="D1075" s="50"/>
      <c r="E1075" s="50"/>
      <c r="F1075" s="50"/>
      <c r="G1075" s="50"/>
      <c r="H1075" s="50"/>
      <c r="I1075" s="50"/>
      <c r="J1075" s="50"/>
      <c r="K1075" s="50"/>
      <c r="L1075" s="50"/>
      <c r="M1075" s="50"/>
      <c r="N1075" s="50"/>
    </row>
    <row r="1076" ht="14.25" customHeight="1" spans="1:14">
      <c r="A1076" s="50"/>
      <c r="B1076" s="50"/>
      <c r="C1076" s="50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</row>
    <row r="1077" ht="14.25" customHeight="1" spans="1:14">
      <c r="A1077" s="50"/>
      <c r="B1077" s="50"/>
      <c r="C1077" s="50"/>
      <c r="D1077" s="50"/>
      <c r="E1077" s="50"/>
      <c r="F1077" s="50"/>
      <c r="G1077" s="50"/>
      <c r="H1077" s="50"/>
      <c r="I1077" s="50"/>
      <c r="J1077" s="50"/>
      <c r="K1077" s="50"/>
      <c r="L1077" s="50"/>
      <c r="M1077" s="50"/>
      <c r="N1077" s="50"/>
    </row>
    <row r="1078" ht="14.25" customHeight="1" spans="1:14">
      <c r="A1078" s="50"/>
      <c r="B1078" s="50"/>
      <c r="C1078" s="50"/>
      <c r="D1078" s="50"/>
      <c r="E1078" s="50"/>
      <c r="F1078" s="50"/>
      <c r="G1078" s="50"/>
      <c r="H1078" s="50"/>
      <c r="I1078" s="50"/>
      <c r="J1078" s="50"/>
      <c r="K1078" s="50"/>
      <c r="L1078" s="50"/>
      <c r="M1078" s="50"/>
      <c r="N1078" s="50"/>
    </row>
    <row r="1079" ht="14.25" customHeight="1" spans="1:14">
      <c r="A1079" s="50"/>
      <c r="B1079" s="50"/>
      <c r="C1079" s="50"/>
      <c r="D1079" s="50"/>
      <c r="E1079" s="50"/>
      <c r="F1079" s="50"/>
      <c r="G1079" s="50"/>
      <c r="H1079" s="50"/>
      <c r="I1079" s="50"/>
      <c r="J1079" s="50"/>
      <c r="K1079" s="50"/>
      <c r="L1079" s="50"/>
      <c r="M1079" s="50"/>
      <c r="N1079" s="50"/>
    </row>
    <row r="1080" ht="14.25" customHeight="1" spans="1:14">
      <c r="A1080" s="50"/>
      <c r="B1080" s="50"/>
      <c r="C1080" s="50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</row>
    <row r="1081" ht="14.25" customHeight="1" spans="1:14">
      <c r="A1081" s="50"/>
      <c r="B1081" s="50"/>
      <c r="C1081" s="50"/>
      <c r="D1081" s="50"/>
      <c r="E1081" s="50"/>
      <c r="F1081" s="50"/>
      <c r="G1081" s="50"/>
      <c r="H1081" s="50"/>
      <c r="I1081" s="50"/>
      <c r="J1081" s="50"/>
      <c r="K1081" s="50"/>
      <c r="L1081" s="50"/>
      <c r="M1081" s="50"/>
      <c r="N1081" s="50"/>
    </row>
    <row r="1082" ht="14.25" customHeight="1" spans="1:14">
      <c r="A1082" s="50"/>
      <c r="B1082" s="50"/>
      <c r="C1082" s="50"/>
      <c r="D1082" s="50"/>
      <c r="E1082" s="50"/>
      <c r="F1082" s="50"/>
      <c r="G1082" s="50"/>
      <c r="H1082" s="50"/>
      <c r="I1082" s="50"/>
      <c r="J1082" s="50"/>
      <c r="K1082" s="50"/>
      <c r="L1082" s="50"/>
      <c r="M1082" s="50"/>
      <c r="N1082" s="50"/>
    </row>
    <row r="1083" ht="14.25" customHeight="1" spans="1:14">
      <c r="A1083" s="50"/>
      <c r="B1083" s="50"/>
      <c r="C1083" s="50"/>
      <c r="D1083" s="50"/>
      <c r="E1083" s="50"/>
      <c r="F1083" s="50"/>
      <c r="G1083" s="50"/>
      <c r="H1083" s="50"/>
      <c r="I1083" s="50"/>
      <c r="J1083" s="50"/>
      <c r="K1083" s="50"/>
      <c r="L1083" s="50"/>
      <c r="M1083" s="50"/>
      <c r="N1083" s="50"/>
    </row>
    <row r="1084" ht="14.25" customHeight="1" spans="1:14">
      <c r="A1084" s="50"/>
      <c r="B1084" s="50"/>
      <c r="C1084" s="50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</row>
    <row r="1085" ht="14.25" customHeight="1" spans="1:14">
      <c r="A1085" s="50"/>
      <c r="B1085" s="50"/>
      <c r="C1085" s="50"/>
      <c r="D1085" s="50"/>
      <c r="E1085" s="50"/>
      <c r="F1085" s="50"/>
      <c r="G1085" s="50"/>
      <c r="H1085" s="50"/>
      <c r="I1085" s="50"/>
      <c r="J1085" s="50"/>
      <c r="K1085" s="50"/>
      <c r="L1085" s="50"/>
      <c r="M1085" s="50"/>
      <c r="N1085" s="50"/>
    </row>
    <row r="1086" ht="14.25" customHeight="1" spans="1:14">
      <c r="A1086" s="50"/>
      <c r="B1086" s="50"/>
      <c r="C1086" s="50"/>
      <c r="D1086" s="50"/>
      <c r="E1086" s="50"/>
      <c r="F1086" s="50"/>
      <c r="G1086" s="50"/>
      <c r="H1086" s="50"/>
      <c r="I1086" s="50"/>
      <c r="J1086" s="50"/>
      <c r="K1086" s="50"/>
      <c r="L1086" s="50"/>
      <c r="M1086" s="50"/>
      <c r="N1086" s="50"/>
    </row>
    <row r="1087" ht="14.25" customHeight="1" spans="1:14">
      <c r="A1087" s="50"/>
      <c r="B1087" s="50"/>
      <c r="C1087" s="50"/>
      <c r="D1087" s="50"/>
      <c r="E1087" s="50"/>
      <c r="F1087" s="50"/>
      <c r="G1087" s="50"/>
      <c r="H1087" s="50"/>
      <c r="I1087" s="50"/>
      <c r="J1087" s="50"/>
      <c r="K1087" s="50"/>
      <c r="L1087" s="50"/>
      <c r="M1087" s="50"/>
      <c r="N1087" s="50"/>
    </row>
    <row r="1088" ht="14.25" customHeight="1" spans="1:14">
      <c r="A1088" s="50"/>
      <c r="B1088" s="50"/>
      <c r="C1088" s="50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</row>
    <row r="1089" ht="14.25" customHeight="1" spans="1:14">
      <c r="A1089" s="50"/>
      <c r="B1089" s="50"/>
      <c r="C1089" s="50"/>
      <c r="D1089" s="50"/>
      <c r="E1089" s="50"/>
      <c r="F1089" s="50"/>
      <c r="G1089" s="50"/>
      <c r="H1089" s="50"/>
      <c r="I1089" s="50"/>
      <c r="J1089" s="50"/>
      <c r="K1089" s="50"/>
      <c r="L1089" s="50"/>
      <c r="M1089" s="50"/>
      <c r="N1089" s="50"/>
    </row>
    <row r="1090" ht="14.25" customHeight="1" spans="1:14">
      <c r="A1090" s="50"/>
      <c r="B1090" s="50"/>
      <c r="C1090" s="50"/>
      <c r="D1090" s="50"/>
      <c r="E1090" s="50"/>
      <c r="F1090" s="50"/>
      <c r="G1090" s="50"/>
      <c r="H1090" s="50"/>
      <c r="I1090" s="50"/>
      <c r="J1090" s="50"/>
      <c r="K1090" s="50"/>
      <c r="L1090" s="50"/>
      <c r="M1090" s="50"/>
      <c r="N1090" s="50"/>
    </row>
    <row r="1091" ht="14.25" customHeight="1" spans="1:14">
      <c r="A1091" s="50"/>
      <c r="B1091" s="50"/>
      <c r="C1091" s="50"/>
      <c r="D1091" s="50"/>
      <c r="E1091" s="50"/>
      <c r="F1091" s="50"/>
      <c r="G1091" s="50"/>
      <c r="H1091" s="50"/>
      <c r="I1091" s="50"/>
      <c r="J1091" s="50"/>
      <c r="K1091" s="50"/>
      <c r="L1091" s="50"/>
      <c r="M1091" s="50"/>
      <c r="N1091" s="50"/>
    </row>
    <row r="1092" ht="14.25" customHeight="1" spans="1:14">
      <c r="A1092" s="50"/>
      <c r="B1092" s="50"/>
      <c r="C1092" s="50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</row>
    <row r="1093" ht="14.25" customHeight="1" spans="1:14">
      <c r="A1093" s="50"/>
      <c r="B1093" s="50"/>
      <c r="C1093" s="50"/>
      <c r="D1093" s="50"/>
      <c r="E1093" s="50"/>
      <c r="F1093" s="50"/>
      <c r="G1093" s="50"/>
      <c r="H1093" s="50"/>
      <c r="I1093" s="50"/>
      <c r="J1093" s="50"/>
      <c r="K1093" s="50"/>
      <c r="L1093" s="50"/>
      <c r="M1093" s="50"/>
      <c r="N1093" s="50"/>
    </row>
    <row r="1094" ht="14.25" customHeight="1" spans="1:14">
      <c r="A1094" s="50"/>
      <c r="B1094" s="50"/>
      <c r="C1094" s="50"/>
      <c r="D1094" s="50"/>
      <c r="E1094" s="50"/>
      <c r="F1094" s="50"/>
      <c r="G1094" s="50"/>
      <c r="H1094" s="50"/>
      <c r="I1094" s="50"/>
      <c r="J1094" s="50"/>
      <c r="K1094" s="50"/>
      <c r="L1094" s="50"/>
      <c r="M1094" s="50"/>
      <c r="N1094" s="50"/>
    </row>
    <row r="1095" ht="14.25" customHeight="1" spans="1:14">
      <c r="A1095" s="50"/>
      <c r="B1095" s="50"/>
      <c r="C1095" s="50"/>
      <c r="D1095" s="50"/>
      <c r="E1095" s="50"/>
      <c r="F1095" s="50"/>
      <c r="G1095" s="50"/>
      <c r="H1095" s="50"/>
      <c r="I1095" s="50"/>
      <c r="J1095" s="50"/>
      <c r="K1095" s="50"/>
      <c r="L1095" s="50"/>
      <c r="M1095" s="50"/>
      <c r="N1095" s="50"/>
    </row>
    <row r="1096" ht="14.25" customHeight="1" spans="1:14">
      <c r="A1096" s="50"/>
      <c r="B1096" s="50"/>
      <c r="C1096" s="50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</row>
    <row r="1097" ht="14.25" customHeight="1" spans="1:14">
      <c r="A1097" s="50"/>
      <c r="B1097" s="50"/>
      <c r="C1097" s="50"/>
      <c r="D1097" s="50"/>
      <c r="E1097" s="50"/>
      <c r="F1097" s="50"/>
      <c r="G1097" s="50"/>
      <c r="H1097" s="50"/>
      <c r="I1097" s="50"/>
      <c r="J1097" s="50"/>
      <c r="K1097" s="50"/>
      <c r="L1097" s="50"/>
      <c r="M1097" s="50"/>
      <c r="N1097" s="50"/>
    </row>
    <row r="1098" ht="14.25" customHeight="1" spans="1:14">
      <c r="A1098" s="50"/>
      <c r="B1098" s="50"/>
      <c r="C1098" s="50"/>
      <c r="D1098" s="50"/>
      <c r="E1098" s="50"/>
      <c r="F1098" s="50"/>
      <c r="G1098" s="50"/>
      <c r="H1098" s="50"/>
      <c r="I1098" s="50"/>
      <c r="J1098" s="50"/>
      <c r="K1098" s="50"/>
      <c r="L1098" s="50"/>
      <c r="M1098" s="50"/>
      <c r="N1098" s="50"/>
    </row>
    <row r="1099" ht="14.25" customHeight="1" spans="1:14">
      <c r="A1099" s="50"/>
      <c r="B1099" s="50"/>
      <c r="C1099" s="50"/>
      <c r="D1099" s="50"/>
      <c r="E1099" s="50"/>
      <c r="F1099" s="50"/>
      <c r="G1099" s="50"/>
      <c r="H1099" s="50"/>
      <c r="I1099" s="50"/>
      <c r="J1099" s="50"/>
      <c r="K1099" s="50"/>
      <c r="L1099" s="50"/>
      <c r="M1099" s="50"/>
      <c r="N1099" s="50"/>
    </row>
    <row r="1100" ht="14.25" customHeight="1" spans="1:14">
      <c r="A1100" s="50"/>
      <c r="B1100" s="50"/>
      <c r="C1100" s="50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</row>
    <row r="1101" ht="14.25" customHeight="1" spans="1:14">
      <c r="A1101" s="50"/>
      <c r="B1101" s="50"/>
      <c r="C1101" s="50"/>
      <c r="D1101" s="50"/>
      <c r="E1101" s="50"/>
      <c r="F1101" s="50"/>
      <c r="G1101" s="50"/>
      <c r="H1101" s="50"/>
      <c r="I1101" s="50"/>
      <c r="J1101" s="50"/>
      <c r="K1101" s="50"/>
      <c r="L1101" s="50"/>
      <c r="M1101" s="50"/>
      <c r="N1101" s="50"/>
    </row>
    <row r="1102" ht="14.25" customHeight="1" spans="1:14">
      <c r="A1102" s="50"/>
      <c r="B1102" s="50"/>
      <c r="C1102" s="50"/>
      <c r="D1102" s="50"/>
      <c r="E1102" s="50"/>
      <c r="F1102" s="50"/>
      <c r="G1102" s="50"/>
      <c r="H1102" s="50"/>
      <c r="I1102" s="50"/>
      <c r="J1102" s="50"/>
      <c r="K1102" s="50"/>
      <c r="L1102" s="50"/>
      <c r="M1102" s="50"/>
      <c r="N1102" s="50"/>
    </row>
    <row r="1103" ht="14.25" customHeight="1" spans="1:14">
      <c r="A1103" s="50"/>
      <c r="B1103" s="50"/>
      <c r="C1103" s="50"/>
      <c r="D1103" s="50"/>
      <c r="E1103" s="50"/>
      <c r="F1103" s="50"/>
      <c r="G1103" s="50"/>
      <c r="H1103" s="50"/>
      <c r="I1103" s="50"/>
      <c r="J1103" s="50"/>
      <c r="K1103" s="50"/>
      <c r="L1103" s="50"/>
      <c r="M1103" s="50"/>
      <c r="N1103" s="50"/>
    </row>
    <row r="1104" ht="14.25" customHeight="1" spans="1:14">
      <c r="A1104" s="50"/>
      <c r="B1104" s="50"/>
      <c r="C1104" s="50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</row>
    <row r="1105" ht="14.25" customHeight="1" spans="1:14">
      <c r="A1105" s="50"/>
      <c r="B1105" s="50"/>
      <c r="C1105" s="50"/>
      <c r="D1105" s="50"/>
      <c r="E1105" s="50"/>
      <c r="F1105" s="50"/>
      <c r="G1105" s="50"/>
      <c r="H1105" s="50"/>
      <c r="I1105" s="50"/>
      <c r="J1105" s="50"/>
      <c r="K1105" s="50"/>
      <c r="L1105" s="50"/>
      <c r="M1105" s="50"/>
      <c r="N1105" s="50"/>
    </row>
    <row r="1106" ht="14.25" customHeight="1" spans="1:14">
      <c r="A1106" s="50"/>
      <c r="B1106" s="50"/>
      <c r="C1106" s="50"/>
      <c r="D1106" s="50"/>
      <c r="E1106" s="50"/>
      <c r="F1106" s="50"/>
      <c r="G1106" s="50"/>
      <c r="H1106" s="50"/>
      <c r="I1106" s="50"/>
      <c r="J1106" s="50"/>
      <c r="K1106" s="50"/>
      <c r="L1106" s="50"/>
      <c r="M1106" s="50"/>
      <c r="N1106" s="50"/>
    </row>
    <row r="1107" ht="14.25" customHeight="1" spans="1:14">
      <c r="A1107" s="50"/>
      <c r="B1107" s="50"/>
      <c r="C1107" s="50"/>
      <c r="D1107" s="50"/>
      <c r="E1107" s="50"/>
      <c r="F1107" s="50"/>
      <c r="G1107" s="50"/>
      <c r="H1107" s="50"/>
      <c r="I1107" s="50"/>
      <c r="J1107" s="50"/>
      <c r="K1107" s="50"/>
      <c r="L1107" s="50"/>
      <c r="M1107" s="50"/>
      <c r="N1107" s="50"/>
    </row>
    <row r="1108" ht="14.25" customHeight="1" spans="1:14">
      <c r="A1108" s="50"/>
      <c r="B1108" s="50"/>
      <c r="C1108" s="50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</row>
    <row r="1109" ht="14.25" customHeight="1" spans="1:14">
      <c r="A1109" s="50"/>
      <c r="B1109" s="50"/>
      <c r="C1109" s="50"/>
      <c r="D1109" s="50"/>
      <c r="E1109" s="50"/>
      <c r="F1109" s="50"/>
      <c r="G1109" s="50"/>
      <c r="H1109" s="50"/>
      <c r="I1109" s="50"/>
      <c r="J1109" s="50"/>
      <c r="K1109" s="50"/>
      <c r="L1109" s="50"/>
      <c r="M1109" s="50"/>
      <c r="N1109" s="50"/>
    </row>
    <row r="1110" ht="14.25" customHeight="1" spans="1:14">
      <c r="A1110" s="50"/>
      <c r="B1110" s="50"/>
      <c r="C1110" s="50"/>
      <c r="D1110" s="50"/>
      <c r="E1110" s="50"/>
      <c r="F1110" s="50"/>
      <c r="G1110" s="50"/>
      <c r="H1110" s="50"/>
      <c r="I1110" s="50"/>
      <c r="J1110" s="50"/>
      <c r="K1110" s="50"/>
      <c r="L1110" s="50"/>
      <c r="M1110" s="50"/>
      <c r="N1110" s="50"/>
    </row>
    <row r="1111" ht="14.25" customHeight="1" spans="1:14">
      <c r="A1111" s="50"/>
      <c r="B1111" s="50"/>
      <c r="C1111" s="50"/>
      <c r="D1111" s="50"/>
      <c r="E1111" s="50"/>
      <c r="F1111" s="50"/>
      <c r="G1111" s="50"/>
      <c r="H1111" s="50"/>
      <c r="I1111" s="50"/>
      <c r="J1111" s="50"/>
      <c r="K1111" s="50"/>
      <c r="L1111" s="50"/>
      <c r="M1111" s="50"/>
      <c r="N1111" s="50"/>
    </row>
    <row r="1112" ht="14.25" customHeight="1" spans="1:14">
      <c r="A1112" s="50"/>
      <c r="B1112" s="50"/>
      <c r="C1112" s="50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</row>
    <row r="1113" ht="14.25" customHeight="1" spans="1:14">
      <c r="A1113" s="50"/>
      <c r="B1113" s="50"/>
      <c r="C1113" s="50"/>
      <c r="D1113" s="50"/>
      <c r="E1113" s="50"/>
      <c r="F1113" s="50"/>
      <c r="G1113" s="50"/>
      <c r="H1113" s="50"/>
      <c r="I1113" s="50"/>
      <c r="J1113" s="50"/>
      <c r="K1113" s="50"/>
      <c r="L1113" s="50"/>
      <c r="M1113" s="50"/>
      <c r="N1113" s="50"/>
    </row>
    <row r="1114" ht="14.25" customHeight="1" spans="1:14">
      <c r="A1114" s="50"/>
      <c r="B1114" s="50"/>
      <c r="C1114" s="50"/>
      <c r="D1114" s="50"/>
      <c r="E1114" s="50"/>
      <c r="F1114" s="50"/>
      <c r="G1114" s="50"/>
      <c r="H1114" s="50"/>
      <c r="I1114" s="50"/>
      <c r="J1114" s="50"/>
      <c r="K1114" s="50"/>
      <c r="L1114" s="50"/>
      <c r="M1114" s="50"/>
      <c r="N1114" s="50"/>
    </row>
    <row r="1115" ht="14.25" customHeight="1" spans="1:14">
      <c r="A1115" s="50"/>
      <c r="B1115" s="50"/>
      <c r="C1115" s="50"/>
      <c r="D1115" s="50"/>
      <c r="E1115" s="50"/>
      <c r="F1115" s="50"/>
      <c r="G1115" s="50"/>
      <c r="H1115" s="50"/>
      <c r="I1115" s="50"/>
      <c r="J1115" s="50"/>
      <c r="K1115" s="50"/>
      <c r="L1115" s="50"/>
      <c r="M1115" s="50"/>
      <c r="N1115" s="50"/>
    </row>
    <row r="1116" ht="14.25" customHeight="1" spans="1:14">
      <c r="A1116" s="50"/>
      <c r="B1116" s="50"/>
      <c r="C1116" s="50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</row>
    <row r="1117" ht="14.25" customHeight="1" spans="1:14">
      <c r="A1117" s="50"/>
      <c r="B1117" s="50"/>
      <c r="C1117" s="50"/>
      <c r="D1117" s="50"/>
      <c r="E1117" s="50"/>
      <c r="F1117" s="50"/>
      <c r="G1117" s="50"/>
      <c r="H1117" s="50"/>
      <c r="I1117" s="50"/>
      <c r="J1117" s="50"/>
      <c r="K1117" s="50"/>
      <c r="L1117" s="50"/>
      <c r="M1117" s="50"/>
      <c r="N1117" s="50"/>
    </row>
    <row r="1118" ht="14.25" customHeight="1" spans="1:14">
      <c r="A1118" s="50"/>
      <c r="B1118" s="50"/>
      <c r="C1118" s="50"/>
      <c r="D1118" s="50"/>
      <c r="E1118" s="50"/>
      <c r="F1118" s="50"/>
      <c r="G1118" s="50"/>
      <c r="H1118" s="50"/>
      <c r="I1118" s="50"/>
      <c r="J1118" s="50"/>
      <c r="K1118" s="50"/>
      <c r="L1118" s="50"/>
      <c r="M1118" s="50"/>
      <c r="N1118" s="50"/>
    </row>
    <row r="1119" ht="14.25" customHeight="1" spans="1:14">
      <c r="A1119" s="50"/>
      <c r="B1119" s="50"/>
      <c r="C1119" s="50"/>
      <c r="D1119" s="50"/>
      <c r="E1119" s="50"/>
      <c r="F1119" s="50"/>
      <c r="G1119" s="50"/>
      <c r="H1119" s="50"/>
      <c r="I1119" s="50"/>
      <c r="J1119" s="50"/>
      <c r="K1119" s="50"/>
      <c r="L1119" s="50"/>
      <c r="M1119" s="50"/>
      <c r="N1119" s="50"/>
    </row>
    <row r="1120" ht="14.25" customHeight="1" spans="1:14">
      <c r="A1120" s="50"/>
      <c r="B1120" s="50"/>
      <c r="C1120" s="50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</row>
    <row r="1121" ht="14.25" customHeight="1" spans="1:14">
      <c r="A1121" s="50"/>
      <c r="B1121" s="50"/>
      <c r="C1121" s="50"/>
      <c r="D1121" s="50"/>
      <c r="E1121" s="50"/>
      <c r="F1121" s="50"/>
      <c r="G1121" s="50"/>
      <c r="H1121" s="50"/>
      <c r="I1121" s="50"/>
      <c r="J1121" s="50"/>
      <c r="K1121" s="50"/>
      <c r="L1121" s="50"/>
      <c r="M1121" s="50"/>
      <c r="N1121" s="50"/>
    </row>
    <row r="1122" ht="14.25" customHeight="1" spans="1:14">
      <c r="A1122" s="50"/>
      <c r="B1122" s="50"/>
      <c r="C1122" s="50"/>
      <c r="D1122" s="50"/>
      <c r="E1122" s="50"/>
      <c r="F1122" s="50"/>
      <c r="G1122" s="50"/>
      <c r="H1122" s="50"/>
      <c r="I1122" s="50"/>
      <c r="J1122" s="50"/>
      <c r="K1122" s="50"/>
      <c r="L1122" s="50"/>
      <c r="M1122" s="50"/>
      <c r="N1122" s="50"/>
    </row>
    <row r="1123" ht="14.25" customHeight="1" spans="1:14">
      <c r="A1123" s="50"/>
      <c r="B1123" s="50"/>
      <c r="C1123" s="50"/>
      <c r="D1123" s="50"/>
      <c r="E1123" s="50"/>
      <c r="F1123" s="50"/>
      <c r="G1123" s="50"/>
      <c r="H1123" s="50"/>
      <c r="I1123" s="50"/>
      <c r="J1123" s="50"/>
      <c r="K1123" s="50"/>
      <c r="L1123" s="50"/>
      <c r="M1123" s="50"/>
      <c r="N1123" s="50"/>
    </row>
    <row r="1124" ht="14.25" customHeight="1" spans="1:14">
      <c r="A1124" s="50"/>
      <c r="B1124" s="50"/>
      <c r="C1124" s="50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</row>
    <row r="1125" ht="14.25" customHeight="1" spans="1:14">
      <c r="A1125" s="50"/>
      <c r="B1125" s="50"/>
      <c r="C1125" s="50"/>
      <c r="D1125" s="50"/>
      <c r="E1125" s="50"/>
      <c r="F1125" s="50"/>
      <c r="G1125" s="50"/>
      <c r="H1125" s="50"/>
      <c r="I1125" s="50"/>
      <c r="J1125" s="50"/>
      <c r="K1125" s="50"/>
      <c r="L1125" s="50"/>
      <c r="M1125" s="50"/>
      <c r="N1125" s="50"/>
    </row>
    <row r="1126" ht="14.25" customHeight="1" spans="1:14">
      <c r="A1126" s="50"/>
      <c r="B1126" s="50"/>
      <c r="C1126" s="50"/>
      <c r="D1126" s="50"/>
      <c r="E1126" s="50"/>
      <c r="F1126" s="50"/>
      <c r="G1126" s="50"/>
      <c r="H1126" s="50"/>
      <c r="I1126" s="50"/>
      <c r="J1126" s="50"/>
      <c r="K1126" s="50"/>
      <c r="L1126" s="50"/>
      <c r="M1126" s="50"/>
      <c r="N1126" s="50"/>
    </row>
    <row r="1127" ht="14.25" customHeight="1" spans="1:14">
      <c r="A1127" s="50"/>
      <c r="B1127" s="50"/>
      <c r="C1127" s="50"/>
      <c r="D1127" s="50"/>
      <c r="E1127" s="50"/>
      <c r="F1127" s="50"/>
      <c r="G1127" s="50"/>
      <c r="H1127" s="50"/>
      <c r="I1127" s="50"/>
      <c r="J1127" s="50"/>
      <c r="K1127" s="50"/>
      <c r="L1127" s="50"/>
      <c r="M1127" s="50"/>
      <c r="N1127" s="50"/>
    </row>
    <row r="1128" ht="14.25" customHeight="1" spans="1:14">
      <c r="A1128" s="50"/>
      <c r="B1128" s="50"/>
      <c r="C1128" s="50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</row>
    <row r="1129" ht="14.25" customHeight="1" spans="1:14">
      <c r="A1129" s="50"/>
      <c r="B1129" s="50"/>
      <c r="C1129" s="50"/>
      <c r="D1129" s="50"/>
      <c r="E1129" s="50"/>
      <c r="F1129" s="50"/>
      <c r="G1129" s="50"/>
      <c r="H1129" s="50"/>
      <c r="I1129" s="50"/>
      <c r="J1129" s="50"/>
      <c r="K1129" s="50"/>
      <c r="L1129" s="50"/>
      <c r="M1129" s="50"/>
      <c r="N1129" s="50"/>
    </row>
    <row r="1130" ht="14.25" customHeight="1" spans="1:14">
      <c r="A1130" s="50"/>
      <c r="B1130" s="50"/>
      <c r="C1130" s="50"/>
      <c r="D1130" s="50"/>
      <c r="E1130" s="50"/>
      <c r="F1130" s="50"/>
      <c r="G1130" s="50"/>
      <c r="H1130" s="50"/>
      <c r="I1130" s="50"/>
      <c r="J1130" s="50"/>
      <c r="K1130" s="50"/>
      <c r="L1130" s="50"/>
      <c r="M1130" s="50"/>
      <c r="N1130" s="50"/>
    </row>
    <row r="1131" ht="14.25" customHeight="1" spans="1:14">
      <c r="A1131" s="50"/>
      <c r="B1131" s="50"/>
      <c r="C1131" s="50"/>
      <c r="D1131" s="50"/>
      <c r="E1131" s="50"/>
      <c r="F1131" s="50"/>
      <c r="G1131" s="50"/>
      <c r="H1131" s="50"/>
      <c r="I1131" s="50"/>
      <c r="J1131" s="50"/>
      <c r="K1131" s="50"/>
      <c r="L1131" s="50"/>
      <c r="M1131" s="50"/>
      <c r="N1131" s="50"/>
    </row>
  </sheetData>
  <autoFilter xmlns:etc="http://www.wps.cn/officeDocument/2017/etCustomData" ref="A21:M188" etc:filterBottomFollowUsedRange="0">
    <extLst/>
  </autoFilter>
  <mergeCells count="1">
    <mergeCell ref="A12:H12"/>
  </mergeCells>
  <dataValidations count="2">
    <dataValidation type="list" allowBlank="1" showErrorMessage="1" sqref="G22:G195">
      <formula1>"Dress,Hat,Headware,Hoodie,Jacket,Jacket Waterproof ,Jacket Waterresistent ,Jumpsuit,Outerwear,Pants,Shacket,Shirt,Short,Skirt,Socks,Sweater,Tank,Top,T-shirt,Vest,Bag,Bottle,Other"</formula1>
    </dataValidation>
    <dataValidation type="list" allowBlank="1" showErrorMessage="1" sqref="H22:H195">
      <formula1>"Mens,Womens,Ungendered"</formula1>
    </dataValidation>
  </dataValidations>
  <pageMargins left="0.7" right="0.7" top="0.75" bottom="0.75" header="0" footer="0"/>
  <pageSetup paperSize="1" scale="38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69"/>
  <sheetViews>
    <sheetView topLeftCell="B234" workbookViewId="0">
      <selection activeCell="G259" sqref="B259:G259"/>
    </sheetView>
  </sheetViews>
  <sheetFormatPr defaultColWidth="9" defaultRowHeight="13.8"/>
  <cols>
    <col min="3" max="3" width="21.125" customWidth="1"/>
    <col min="4" max="4" width="19.125" customWidth="1"/>
    <col min="5" max="5" width="33.25" customWidth="1"/>
    <col min="6" max="6" width="38.7" customWidth="1"/>
    <col min="7" max="7" width="11.125" customWidth="1"/>
    <col min="8" max="8" width="12.75" customWidth="1"/>
    <col min="9" max="9" width="11.125" customWidth="1"/>
    <col min="10" max="10" width="16.25" customWidth="1"/>
  </cols>
  <sheetData>
    <row r="1" ht="17.4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</row>
    <row r="2" ht="15.6" spans="1:14">
      <c r="A2" s="3" t="s">
        <v>441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</row>
    <row r="3" ht="15.6" spans="1:14">
      <c r="A3" s="3" t="s">
        <v>442</v>
      </c>
      <c r="B3" s="3"/>
      <c r="C3" s="3"/>
      <c r="D3" s="3"/>
      <c r="E3" s="3" t="s">
        <v>443</v>
      </c>
      <c r="F3" s="3"/>
      <c r="G3" s="3"/>
      <c r="H3" s="3"/>
      <c r="I3" s="3"/>
      <c r="J3" s="3"/>
      <c r="K3" s="3"/>
      <c r="L3" s="3"/>
      <c r="M3" s="2"/>
      <c r="N3" s="2"/>
    </row>
    <row r="4" ht="21" spans="1:14">
      <c r="A4" s="4" t="s">
        <v>444</v>
      </c>
      <c r="B4" s="5"/>
      <c r="C4" s="5"/>
      <c r="D4" s="5"/>
      <c r="E4" s="5"/>
      <c r="F4" s="5"/>
      <c r="G4" s="5"/>
      <c r="H4" s="5"/>
      <c r="I4" s="5"/>
      <c r="J4" s="5"/>
      <c r="K4" s="5"/>
      <c r="L4" s="6"/>
      <c r="M4" s="2"/>
      <c r="N4" s="2"/>
    </row>
    <row r="5" spans="1:14">
      <c r="A5" s="7" t="s">
        <v>23</v>
      </c>
      <c r="B5" s="8"/>
      <c r="C5" s="8"/>
      <c r="D5" s="8"/>
      <c r="E5" s="9" t="s">
        <v>24</v>
      </c>
      <c r="F5" s="8"/>
      <c r="G5" s="10" t="s">
        <v>445</v>
      </c>
      <c r="H5" s="108" t="str">
        <f>Invoice!J2</f>
        <v>04758</v>
      </c>
      <c r="I5" s="12"/>
      <c r="J5" s="12"/>
      <c r="K5" s="12"/>
      <c r="L5" s="12"/>
      <c r="M5" s="2"/>
      <c r="N5" s="2"/>
    </row>
    <row r="6" spans="1:14">
      <c r="A6" s="13" t="str">
        <f>Invoice!A15</f>
        <v>NRI CA Warehouse</v>
      </c>
      <c r="B6" s="8"/>
      <c r="C6" s="8"/>
      <c r="D6" s="8"/>
      <c r="E6" s="8" t="str">
        <f>Invoice!D15</f>
        <v>Tentree International</v>
      </c>
      <c r="F6" s="8"/>
      <c r="G6" s="10" t="s">
        <v>446</v>
      </c>
      <c r="H6" s="14" t="str">
        <f>Invoice!J3</f>
        <v>PT04758D</v>
      </c>
      <c r="I6" s="12"/>
      <c r="J6" s="12"/>
      <c r="K6" s="12"/>
      <c r="L6" s="12"/>
      <c r="M6" s="2"/>
      <c r="N6" s="2"/>
    </row>
    <row r="7" spans="1:14">
      <c r="A7" s="13" t="str">
        <f>Invoice!A16</f>
        <v>8205 Dallas Dr., Kamloops </v>
      </c>
      <c r="B7" s="8"/>
      <c r="C7" s="8"/>
      <c r="D7" s="8"/>
      <c r="E7" s="8" t="str">
        <f>Invoice!D16</f>
        <v>230-1275 Venables St.</v>
      </c>
      <c r="F7" s="8"/>
      <c r="G7" s="10" t="s">
        <v>447</v>
      </c>
      <c r="H7" s="15"/>
      <c r="I7" s="12"/>
      <c r="J7" s="12"/>
      <c r="K7" s="12"/>
      <c r="L7" s="12"/>
      <c r="M7" s="2"/>
      <c r="N7" s="2"/>
    </row>
    <row r="8" spans="1:14">
      <c r="A8" s="13" t="str">
        <f>Invoice!A17</f>
        <v>British Columbia Canada</v>
      </c>
      <c r="B8" s="8"/>
      <c r="C8" s="8"/>
      <c r="D8" s="8"/>
      <c r="E8" s="8" t="str">
        <f>Invoice!D17</f>
        <v>Vancouver, BC V6A 2E4</v>
      </c>
      <c r="F8" s="8"/>
      <c r="G8" s="10" t="s">
        <v>448</v>
      </c>
      <c r="H8" s="15"/>
      <c r="I8" s="12"/>
      <c r="J8" s="12"/>
      <c r="K8" s="12"/>
      <c r="L8" s="12"/>
      <c r="M8" s="2"/>
      <c r="N8" s="2"/>
    </row>
    <row r="9" spans="1:14">
      <c r="A9" s="16"/>
      <c r="B9" s="8"/>
      <c r="C9" s="8"/>
      <c r="D9" s="8"/>
      <c r="E9" s="8" t="str">
        <f>Invoice!D18</f>
        <v>604-829-2706</v>
      </c>
      <c r="F9" s="8"/>
      <c r="G9" s="10" t="s">
        <v>449</v>
      </c>
      <c r="H9" s="14">
        <f>Invoice!J4</f>
        <v>46188</v>
      </c>
      <c r="I9" s="12"/>
      <c r="J9" s="17"/>
      <c r="K9" s="12"/>
      <c r="L9" s="12"/>
      <c r="M9" s="2"/>
      <c r="N9" s="2"/>
    </row>
    <row r="10" spans="1:14">
      <c r="A10" s="18"/>
      <c r="B10" s="12"/>
      <c r="C10" s="12"/>
      <c r="D10" s="12"/>
      <c r="E10" s="12"/>
      <c r="F10" s="12"/>
      <c r="G10" s="10" t="s">
        <v>450</v>
      </c>
      <c r="H10" s="18">
        <v>1</v>
      </c>
      <c r="I10" s="12"/>
      <c r="J10" s="12"/>
      <c r="K10" s="12"/>
      <c r="L10" s="12"/>
      <c r="M10" s="2"/>
      <c r="N10" s="2"/>
    </row>
    <row r="11" spans="1:14">
      <c r="A11" s="13"/>
      <c r="B11" s="8"/>
      <c r="C11" s="8"/>
      <c r="D11" s="8"/>
      <c r="E11" s="8"/>
      <c r="F11" s="8"/>
      <c r="G11" s="8"/>
      <c r="H11" s="8"/>
      <c r="I11" s="8"/>
      <c r="J11" s="8"/>
      <c r="K11" s="12"/>
      <c r="L11" s="12"/>
      <c r="M11" s="2"/>
      <c r="N11" s="2"/>
    </row>
    <row r="12" spans="1:14">
      <c r="A12" s="19" t="s">
        <v>451</v>
      </c>
      <c r="B12" s="19" t="s">
        <v>2</v>
      </c>
      <c r="C12" s="20" t="s">
        <v>452</v>
      </c>
      <c r="D12" s="20" t="s">
        <v>34</v>
      </c>
      <c r="E12" s="20" t="s">
        <v>36</v>
      </c>
      <c r="F12" s="20" t="s">
        <v>37</v>
      </c>
      <c r="G12" s="19" t="s">
        <v>453</v>
      </c>
      <c r="H12" s="19" t="s">
        <v>454</v>
      </c>
      <c r="I12" s="19" t="s">
        <v>455</v>
      </c>
      <c r="J12" s="19" t="s">
        <v>456</v>
      </c>
      <c r="K12" s="12"/>
      <c r="L12" s="12"/>
      <c r="M12" s="2"/>
      <c r="N12" s="2"/>
    </row>
    <row r="13" spans="1:14">
      <c r="A13" s="21" t="s">
        <v>457</v>
      </c>
      <c r="B13" s="109" t="s">
        <v>3</v>
      </c>
      <c r="C13" s="20" t="s">
        <v>68</v>
      </c>
      <c r="D13" s="20" t="s">
        <v>69</v>
      </c>
      <c r="E13" s="20" t="s">
        <v>49</v>
      </c>
      <c r="F13" s="20" t="s">
        <v>65</v>
      </c>
      <c r="G13" s="22">
        <v>1</v>
      </c>
      <c r="H13" s="23">
        <v>11</v>
      </c>
      <c r="I13" s="23">
        <v>12</v>
      </c>
      <c r="J13" s="23" t="s">
        <v>458</v>
      </c>
      <c r="K13" s="12"/>
      <c r="L13" s="12"/>
      <c r="M13" s="2"/>
      <c r="N13" s="2"/>
    </row>
    <row r="14" spans="1:14">
      <c r="A14" s="24"/>
      <c r="B14" s="109" t="s">
        <v>3</v>
      </c>
      <c r="C14" s="20" t="s">
        <v>66</v>
      </c>
      <c r="D14" s="20" t="s">
        <v>67</v>
      </c>
      <c r="E14" s="20" t="s">
        <v>49</v>
      </c>
      <c r="F14" s="20" t="s">
        <v>65</v>
      </c>
      <c r="G14" s="22">
        <v>1</v>
      </c>
      <c r="H14" s="25"/>
      <c r="I14" s="25"/>
      <c r="J14" s="25"/>
      <c r="K14" s="12"/>
      <c r="L14" s="12"/>
      <c r="M14" s="2"/>
      <c r="N14" s="2"/>
    </row>
    <row r="15" spans="1:14">
      <c r="A15" s="24"/>
      <c r="B15" s="109" t="s">
        <v>3</v>
      </c>
      <c r="C15" s="20" t="s">
        <v>63</v>
      </c>
      <c r="D15" s="20" t="s">
        <v>64</v>
      </c>
      <c r="E15" s="20" t="s">
        <v>49</v>
      </c>
      <c r="F15" s="20" t="s">
        <v>65</v>
      </c>
      <c r="G15" s="22">
        <v>2</v>
      </c>
      <c r="H15" s="25"/>
      <c r="I15" s="25"/>
      <c r="J15" s="25"/>
      <c r="K15" s="12"/>
      <c r="L15" s="12"/>
      <c r="M15" s="2"/>
      <c r="N15" s="2"/>
    </row>
    <row r="16" spans="1:14">
      <c r="A16" s="24"/>
      <c r="B16" s="109" t="s">
        <v>3</v>
      </c>
      <c r="C16" s="20" t="s">
        <v>70</v>
      </c>
      <c r="D16" s="20" t="s">
        <v>71</v>
      </c>
      <c r="E16" s="20" t="s">
        <v>49</v>
      </c>
      <c r="F16" s="20" t="s">
        <v>65</v>
      </c>
      <c r="G16" s="22">
        <v>1</v>
      </c>
      <c r="H16" s="25"/>
      <c r="I16" s="25"/>
      <c r="J16" s="25"/>
      <c r="K16" s="12"/>
      <c r="L16" s="12"/>
      <c r="M16" s="2"/>
      <c r="N16" s="2"/>
    </row>
    <row r="17" spans="1:14">
      <c r="A17" s="24"/>
      <c r="B17" s="109" t="s">
        <v>3</v>
      </c>
      <c r="C17" s="20" t="s">
        <v>83</v>
      </c>
      <c r="D17" s="20" t="s">
        <v>84</v>
      </c>
      <c r="E17" s="20" t="s">
        <v>49</v>
      </c>
      <c r="F17" s="20" t="s">
        <v>85</v>
      </c>
      <c r="G17" s="22">
        <v>1</v>
      </c>
      <c r="H17" s="25"/>
      <c r="I17" s="25"/>
      <c r="J17" s="25"/>
      <c r="K17" s="12"/>
      <c r="L17" s="12"/>
      <c r="M17" s="2"/>
      <c r="N17" s="2"/>
    </row>
    <row r="18" spans="1:14">
      <c r="A18" s="24"/>
      <c r="B18" s="109" t="s">
        <v>3</v>
      </c>
      <c r="C18" s="20" t="s">
        <v>86</v>
      </c>
      <c r="D18" s="20" t="s">
        <v>87</v>
      </c>
      <c r="E18" s="20" t="s">
        <v>49</v>
      </c>
      <c r="F18" s="20" t="s">
        <v>85</v>
      </c>
      <c r="G18" s="22">
        <v>1</v>
      </c>
      <c r="H18" s="25"/>
      <c r="I18" s="25"/>
      <c r="J18" s="25"/>
      <c r="K18" s="12"/>
      <c r="L18" s="12"/>
      <c r="M18" s="2"/>
      <c r="N18" s="2"/>
    </row>
    <row r="19" spans="1:14">
      <c r="A19" s="24"/>
      <c r="B19" s="109" t="s">
        <v>3</v>
      </c>
      <c r="C19" s="20" t="s">
        <v>88</v>
      </c>
      <c r="D19" s="20" t="s">
        <v>89</v>
      </c>
      <c r="E19" s="20" t="s">
        <v>49</v>
      </c>
      <c r="F19" s="20" t="s">
        <v>85</v>
      </c>
      <c r="G19" s="22">
        <v>1</v>
      </c>
      <c r="H19" s="25"/>
      <c r="I19" s="25"/>
      <c r="J19" s="25"/>
      <c r="K19" s="12"/>
      <c r="L19" s="12"/>
      <c r="M19" s="2"/>
      <c r="N19" s="2"/>
    </row>
    <row r="20" spans="1:14">
      <c r="A20" s="24"/>
      <c r="B20" s="109" t="s">
        <v>3</v>
      </c>
      <c r="C20" s="20" t="s">
        <v>77</v>
      </c>
      <c r="D20" s="20" t="s">
        <v>78</v>
      </c>
      <c r="E20" s="20" t="s">
        <v>49</v>
      </c>
      <c r="F20" s="20" t="s">
        <v>74</v>
      </c>
      <c r="G20" s="22">
        <v>2</v>
      </c>
      <c r="H20" s="25"/>
      <c r="I20" s="25"/>
      <c r="J20" s="25"/>
      <c r="K20" s="12"/>
      <c r="L20" s="12"/>
      <c r="M20" s="2"/>
      <c r="N20" s="2"/>
    </row>
    <row r="21" spans="1:14">
      <c r="A21" s="24"/>
      <c r="B21" s="109" t="s">
        <v>3</v>
      </c>
      <c r="C21" s="20" t="s">
        <v>75</v>
      </c>
      <c r="D21" s="20" t="s">
        <v>76</v>
      </c>
      <c r="E21" s="20" t="s">
        <v>49</v>
      </c>
      <c r="F21" s="20" t="s">
        <v>74</v>
      </c>
      <c r="G21" s="22">
        <v>2</v>
      </c>
      <c r="H21" s="25"/>
      <c r="I21" s="25"/>
      <c r="J21" s="25"/>
      <c r="K21" s="12"/>
      <c r="L21" s="12"/>
      <c r="M21" s="2"/>
      <c r="N21" s="2"/>
    </row>
    <row r="22" spans="1:14">
      <c r="A22" s="24"/>
      <c r="B22" s="109" t="s">
        <v>3</v>
      </c>
      <c r="C22" s="20" t="s">
        <v>72</v>
      </c>
      <c r="D22" s="20" t="s">
        <v>73</v>
      </c>
      <c r="E22" s="20" t="s">
        <v>49</v>
      </c>
      <c r="F22" s="20" t="s">
        <v>74</v>
      </c>
      <c r="G22" s="22">
        <v>2</v>
      </c>
      <c r="H22" s="25"/>
      <c r="I22" s="25"/>
      <c r="J22" s="25"/>
      <c r="K22" s="12"/>
      <c r="L22" s="12"/>
      <c r="M22" s="2"/>
      <c r="N22" s="2"/>
    </row>
    <row r="23" spans="1:14">
      <c r="A23" s="24"/>
      <c r="B23" s="109" t="s">
        <v>3</v>
      </c>
      <c r="C23" s="20" t="s">
        <v>79</v>
      </c>
      <c r="D23" s="20" t="s">
        <v>80</v>
      </c>
      <c r="E23" s="20" t="s">
        <v>49</v>
      </c>
      <c r="F23" s="20" t="s">
        <v>74</v>
      </c>
      <c r="G23" s="22">
        <v>2</v>
      </c>
      <c r="H23" s="25"/>
      <c r="I23" s="25"/>
      <c r="J23" s="25"/>
      <c r="K23" s="12"/>
      <c r="L23" s="12"/>
      <c r="M23" s="2"/>
      <c r="N23" s="2"/>
    </row>
    <row r="24" spans="1:14">
      <c r="A24" s="24"/>
      <c r="B24" s="109" t="s">
        <v>3</v>
      </c>
      <c r="C24" s="20" t="s">
        <v>81</v>
      </c>
      <c r="D24" s="20" t="s">
        <v>82</v>
      </c>
      <c r="E24" s="20" t="s">
        <v>49</v>
      </c>
      <c r="F24" s="20" t="s">
        <v>74</v>
      </c>
      <c r="G24" s="22">
        <v>1</v>
      </c>
      <c r="H24" s="25"/>
      <c r="I24" s="25"/>
      <c r="J24" s="25"/>
      <c r="K24" s="12"/>
      <c r="L24" s="12"/>
      <c r="M24" s="2"/>
      <c r="N24" s="2"/>
    </row>
    <row r="25" spans="1:14">
      <c r="A25" s="26"/>
      <c r="B25" s="109" t="s">
        <v>3</v>
      </c>
      <c r="C25" s="20" t="s">
        <v>61</v>
      </c>
      <c r="D25" s="20" t="s">
        <v>62</v>
      </c>
      <c r="E25" s="20" t="s">
        <v>49</v>
      </c>
      <c r="F25" s="20" t="s">
        <v>50</v>
      </c>
      <c r="G25" s="22">
        <v>1</v>
      </c>
      <c r="H25" s="27"/>
      <c r="I25" s="27"/>
      <c r="J25" s="27"/>
      <c r="K25" s="12"/>
      <c r="L25" s="12"/>
      <c r="M25" s="2"/>
      <c r="N25" s="2"/>
    </row>
    <row r="26" spans="1:14">
      <c r="A26" s="21" t="s">
        <v>459</v>
      </c>
      <c r="B26" s="109" t="s">
        <v>3</v>
      </c>
      <c r="C26" s="20" t="s">
        <v>55</v>
      </c>
      <c r="D26" s="20" t="s">
        <v>56</v>
      </c>
      <c r="E26" s="20" t="s">
        <v>49</v>
      </c>
      <c r="F26" s="20" t="s">
        <v>50</v>
      </c>
      <c r="G26" s="22">
        <v>10</v>
      </c>
      <c r="H26" s="23">
        <v>11</v>
      </c>
      <c r="I26" s="23">
        <v>12</v>
      </c>
      <c r="J26" s="23" t="s">
        <v>458</v>
      </c>
      <c r="K26" s="12"/>
      <c r="L26" s="12"/>
      <c r="M26" s="2"/>
      <c r="N26" s="2"/>
    </row>
    <row r="27" spans="1:14">
      <c r="A27" s="26"/>
      <c r="B27" s="109" t="s">
        <v>3</v>
      </c>
      <c r="C27" s="20" t="s">
        <v>46</v>
      </c>
      <c r="D27" s="20" t="s">
        <v>47</v>
      </c>
      <c r="E27" s="20" t="s">
        <v>49</v>
      </c>
      <c r="F27" s="20" t="s">
        <v>50</v>
      </c>
      <c r="G27" s="22">
        <v>10</v>
      </c>
      <c r="H27" s="27"/>
      <c r="I27" s="27"/>
      <c r="J27" s="27"/>
      <c r="K27" s="12"/>
      <c r="L27" s="12"/>
      <c r="M27" s="2"/>
      <c r="N27" s="2"/>
    </row>
    <row r="28" spans="1:14">
      <c r="A28" s="21" t="s">
        <v>460</v>
      </c>
      <c r="B28" s="109" t="s">
        <v>3</v>
      </c>
      <c r="C28" s="20" t="s">
        <v>57</v>
      </c>
      <c r="D28" s="20" t="s">
        <v>58</v>
      </c>
      <c r="E28" s="20" t="s">
        <v>49</v>
      </c>
      <c r="F28" s="20" t="s">
        <v>50</v>
      </c>
      <c r="G28" s="22">
        <v>5</v>
      </c>
      <c r="H28" s="23">
        <v>11</v>
      </c>
      <c r="I28" s="23">
        <v>12</v>
      </c>
      <c r="J28" s="23" t="s">
        <v>458</v>
      </c>
      <c r="K28" s="12"/>
      <c r="L28" s="12"/>
      <c r="M28" s="2"/>
      <c r="N28" s="2"/>
    </row>
    <row r="29" spans="1:14">
      <c r="A29" s="24"/>
      <c r="B29" s="109" t="s">
        <v>3</v>
      </c>
      <c r="C29" s="20" t="s">
        <v>59</v>
      </c>
      <c r="D29" s="20" t="s">
        <v>60</v>
      </c>
      <c r="E29" s="20" t="s">
        <v>49</v>
      </c>
      <c r="F29" s="20" t="s">
        <v>50</v>
      </c>
      <c r="G29" s="22">
        <v>10</v>
      </c>
      <c r="H29" s="25"/>
      <c r="I29" s="25"/>
      <c r="J29" s="25"/>
      <c r="K29" s="12"/>
      <c r="L29" s="12"/>
      <c r="M29" s="2"/>
      <c r="N29" s="2"/>
    </row>
    <row r="30" spans="1:14">
      <c r="A30" s="26"/>
      <c r="B30" s="109" t="s">
        <v>3</v>
      </c>
      <c r="C30" s="20" t="s">
        <v>61</v>
      </c>
      <c r="D30" s="20" t="s">
        <v>62</v>
      </c>
      <c r="E30" s="20" t="s">
        <v>49</v>
      </c>
      <c r="F30" s="20" t="s">
        <v>50</v>
      </c>
      <c r="G30" s="22">
        <v>4</v>
      </c>
      <c r="H30" s="27"/>
      <c r="I30" s="27"/>
      <c r="J30" s="27"/>
      <c r="K30" s="12"/>
      <c r="L30" s="12"/>
      <c r="M30" s="2"/>
      <c r="N30" s="2"/>
    </row>
    <row r="31" spans="1:14">
      <c r="A31" s="21" t="s">
        <v>461</v>
      </c>
      <c r="B31" s="109" t="s">
        <v>3</v>
      </c>
      <c r="C31" s="20" t="s">
        <v>94</v>
      </c>
      <c r="D31" s="20" t="s">
        <v>95</v>
      </c>
      <c r="E31" s="20" t="s">
        <v>92</v>
      </c>
      <c r="F31" s="20" t="s">
        <v>93</v>
      </c>
      <c r="G31" s="22">
        <v>2</v>
      </c>
      <c r="H31" s="23">
        <v>11</v>
      </c>
      <c r="I31" s="23">
        <v>12</v>
      </c>
      <c r="J31" s="23" t="s">
        <v>458</v>
      </c>
      <c r="K31" s="12"/>
      <c r="L31" s="12"/>
      <c r="M31" s="2"/>
      <c r="N31" s="2"/>
    </row>
    <row r="32" spans="1:14">
      <c r="A32" s="24"/>
      <c r="B32" s="109" t="s">
        <v>3</v>
      </c>
      <c r="C32" s="20" t="s">
        <v>90</v>
      </c>
      <c r="D32" s="20" t="s">
        <v>91</v>
      </c>
      <c r="E32" s="20" t="s">
        <v>92</v>
      </c>
      <c r="F32" s="20" t="s">
        <v>93</v>
      </c>
      <c r="G32" s="22">
        <v>3</v>
      </c>
      <c r="H32" s="25"/>
      <c r="I32" s="25"/>
      <c r="J32" s="25"/>
      <c r="K32" s="12"/>
      <c r="L32" s="12"/>
      <c r="M32" s="2"/>
      <c r="N32" s="2"/>
    </row>
    <row r="33" spans="1:14">
      <c r="A33" s="24"/>
      <c r="B33" s="109" t="s">
        <v>3</v>
      </c>
      <c r="C33" s="20" t="s">
        <v>96</v>
      </c>
      <c r="D33" s="20" t="s">
        <v>97</v>
      </c>
      <c r="E33" s="20" t="s">
        <v>92</v>
      </c>
      <c r="F33" s="20" t="s">
        <v>93</v>
      </c>
      <c r="G33" s="22">
        <v>2</v>
      </c>
      <c r="H33" s="25"/>
      <c r="I33" s="25"/>
      <c r="J33" s="25"/>
      <c r="K33" s="12"/>
      <c r="L33" s="12"/>
      <c r="M33" s="2"/>
      <c r="N33" s="2"/>
    </row>
    <row r="34" spans="1:14">
      <c r="A34" s="26"/>
      <c r="B34" s="109" t="s">
        <v>3</v>
      </c>
      <c r="C34" s="20" t="s">
        <v>107</v>
      </c>
      <c r="D34" s="20" t="s">
        <v>108</v>
      </c>
      <c r="E34" s="20" t="s">
        <v>92</v>
      </c>
      <c r="F34" s="20" t="s">
        <v>100</v>
      </c>
      <c r="G34" s="22">
        <v>11</v>
      </c>
      <c r="H34" s="27"/>
      <c r="I34" s="27"/>
      <c r="J34" s="27"/>
      <c r="K34" s="12"/>
      <c r="L34" s="12"/>
      <c r="M34" s="2"/>
      <c r="N34" s="2"/>
    </row>
    <row r="35" spans="1:14">
      <c r="A35" s="19" t="s">
        <v>462</v>
      </c>
      <c r="B35" s="109" t="s">
        <v>3</v>
      </c>
      <c r="C35" s="20" t="s">
        <v>101</v>
      </c>
      <c r="D35" s="20" t="s">
        <v>102</v>
      </c>
      <c r="E35" s="20" t="s">
        <v>92</v>
      </c>
      <c r="F35" s="20" t="s">
        <v>100</v>
      </c>
      <c r="G35" s="22">
        <v>18</v>
      </c>
      <c r="H35" s="28">
        <v>11</v>
      </c>
      <c r="I35" s="28">
        <v>12</v>
      </c>
      <c r="J35" s="19" t="s">
        <v>458</v>
      </c>
      <c r="K35" s="12"/>
      <c r="L35" s="12"/>
      <c r="M35" s="2"/>
      <c r="N35" s="2"/>
    </row>
    <row r="36" spans="1:14">
      <c r="A36" s="19" t="s">
        <v>463</v>
      </c>
      <c r="B36" s="109" t="s">
        <v>3</v>
      </c>
      <c r="C36" s="20" t="s">
        <v>101</v>
      </c>
      <c r="D36" s="20" t="s">
        <v>102</v>
      </c>
      <c r="E36" s="20" t="s">
        <v>92</v>
      </c>
      <c r="F36" s="20" t="s">
        <v>100</v>
      </c>
      <c r="G36" s="22">
        <v>18</v>
      </c>
      <c r="H36" s="28">
        <v>11</v>
      </c>
      <c r="I36" s="28">
        <v>12</v>
      </c>
      <c r="J36" s="19" t="s">
        <v>458</v>
      </c>
      <c r="K36" s="12"/>
      <c r="L36" s="12"/>
      <c r="M36" s="2"/>
      <c r="N36" s="2"/>
    </row>
    <row r="37" spans="1:14">
      <c r="A37" s="19" t="s">
        <v>464</v>
      </c>
      <c r="B37" s="109" t="s">
        <v>3</v>
      </c>
      <c r="C37" s="20" t="s">
        <v>98</v>
      </c>
      <c r="D37" s="20" t="s">
        <v>99</v>
      </c>
      <c r="E37" s="20" t="s">
        <v>92</v>
      </c>
      <c r="F37" s="20" t="s">
        <v>100</v>
      </c>
      <c r="G37" s="22">
        <v>18</v>
      </c>
      <c r="H37" s="28">
        <v>11</v>
      </c>
      <c r="I37" s="28">
        <v>12</v>
      </c>
      <c r="J37" s="19" t="s">
        <v>458</v>
      </c>
      <c r="K37" s="12"/>
      <c r="L37" s="12"/>
      <c r="M37" s="2"/>
      <c r="N37" s="2"/>
    </row>
    <row r="38" spans="1:14">
      <c r="A38" s="19" t="s">
        <v>465</v>
      </c>
      <c r="B38" s="109" t="s">
        <v>3</v>
      </c>
      <c r="C38" s="20" t="s">
        <v>98</v>
      </c>
      <c r="D38" s="20" t="s">
        <v>99</v>
      </c>
      <c r="E38" s="20" t="s">
        <v>92</v>
      </c>
      <c r="F38" s="20" t="s">
        <v>100</v>
      </c>
      <c r="G38" s="22">
        <v>18</v>
      </c>
      <c r="H38" s="28">
        <v>11</v>
      </c>
      <c r="I38" s="28">
        <v>12</v>
      </c>
      <c r="J38" s="19" t="s">
        <v>458</v>
      </c>
      <c r="K38" s="12"/>
      <c r="L38" s="12"/>
      <c r="M38" s="2"/>
      <c r="N38" s="2"/>
    </row>
    <row r="39" spans="1:14">
      <c r="A39" s="19" t="s">
        <v>466</v>
      </c>
      <c r="B39" s="109" t="s">
        <v>3</v>
      </c>
      <c r="C39" s="20" t="s">
        <v>98</v>
      </c>
      <c r="D39" s="20" t="s">
        <v>99</v>
      </c>
      <c r="E39" s="20" t="s">
        <v>92</v>
      </c>
      <c r="F39" s="20" t="s">
        <v>100</v>
      </c>
      <c r="G39" s="22">
        <v>18</v>
      </c>
      <c r="H39" s="28">
        <v>11</v>
      </c>
      <c r="I39" s="28">
        <v>12</v>
      </c>
      <c r="J39" s="19" t="s">
        <v>458</v>
      </c>
      <c r="K39" s="12"/>
      <c r="L39" s="12"/>
      <c r="M39" s="2"/>
      <c r="N39" s="2"/>
    </row>
    <row r="40" spans="1:14">
      <c r="A40" s="19" t="s">
        <v>467</v>
      </c>
      <c r="B40" s="109" t="s">
        <v>3</v>
      </c>
      <c r="C40" s="20" t="s">
        <v>105</v>
      </c>
      <c r="D40" s="20" t="s">
        <v>106</v>
      </c>
      <c r="E40" s="20" t="s">
        <v>92</v>
      </c>
      <c r="F40" s="20" t="s">
        <v>100</v>
      </c>
      <c r="G40" s="22">
        <v>18</v>
      </c>
      <c r="H40" s="28">
        <v>11</v>
      </c>
      <c r="I40" s="28">
        <v>12</v>
      </c>
      <c r="J40" s="19" t="s">
        <v>458</v>
      </c>
      <c r="K40" s="12"/>
      <c r="L40" s="12"/>
      <c r="M40" s="2"/>
      <c r="N40" s="2"/>
    </row>
    <row r="41" spans="1:14">
      <c r="A41" s="19" t="s">
        <v>468</v>
      </c>
      <c r="B41" s="109" t="s">
        <v>3</v>
      </c>
      <c r="C41" s="20" t="s">
        <v>105</v>
      </c>
      <c r="D41" s="20" t="s">
        <v>106</v>
      </c>
      <c r="E41" s="20" t="s">
        <v>92</v>
      </c>
      <c r="F41" s="20" t="s">
        <v>100</v>
      </c>
      <c r="G41" s="22">
        <v>18</v>
      </c>
      <c r="H41" s="28">
        <v>11</v>
      </c>
      <c r="I41" s="28">
        <v>12</v>
      </c>
      <c r="J41" s="19" t="s">
        <v>458</v>
      </c>
      <c r="K41" s="12"/>
      <c r="L41" s="12"/>
      <c r="M41" s="2"/>
      <c r="N41" s="2"/>
    </row>
    <row r="42" spans="1:14">
      <c r="A42" s="21" t="s">
        <v>469</v>
      </c>
      <c r="B42" s="109" t="s">
        <v>3</v>
      </c>
      <c r="C42" s="20" t="s">
        <v>103</v>
      </c>
      <c r="D42" s="20" t="s">
        <v>104</v>
      </c>
      <c r="E42" s="20" t="s">
        <v>92</v>
      </c>
      <c r="F42" s="20" t="s">
        <v>100</v>
      </c>
      <c r="G42" s="22">
        <v>13</v>
      </c>
      <c r="H42" s="23">
        <v>11</v>
      </c>
      <c r="I42" s="23">
        <v>12</v>
      </c>
      <c r="J42" s="23" t="s">
        <v>458</v>
      </c>
      <c r="K42" s="12"/>
      <c r="L42" s="12"/>
      <c r="M42" s="2"/>
      <c r="N42" s="2"/>
    </row>
    <row r="43" spans="1:14">
      <c r="A43" s="24"/>
      <c r="B43" s="109" t="s">
        <v>3</v>
      </c>
      <c r="C43" s="20" t="s">
        <v>101</v>
      </c>
      <c r="D43" s="20" t="s">
        <v>102</v>
      </c>
      <c r="E43" s="20" t="s">
        <v>92</v>
      </c>
      <c r="F43" s="20" t="s">
        <v>100</v>
      </c>
      <c r="G43" s="22">
        <v>3</v>
      </c>
      <c r="H43" s="25"/>
      <c r="I43" s="25"/>
      <c r="J43" s="25"/>
      <c r="K43" s="12"/>
      <c r="L43" s="12"/>
      <c r="M43" s="2"/>
      <c r="N43" s="2"/>
    </row>
    <row r="44" spans="1:14">
      <c r="A44" s="24"/>
      <c r="B44" s="109" t="s">
        <v>3</v>
      </c>
      <c r="C44" s="20" t="s">
        <v>98</v>
      </c>
      <c r="D44" s="20" t="s">
        <v>99</v>
      </c>
      <c r="E44" s="20" t="s">
        <v>92</v>
      </c>
      <c r="F44" s="20" t="s">
        <v>100</v>
      </c>
      <c r="G44" s="22">
        <v>1</v>
      </c>
      <c r="H44" s="25"/>
      <c r="I44" s="25"/>
      <c r="J44" s="25"/>
      <c r="K44" s="12"/>
      <c r="L44" s="12"/>
      <c r="M44" s="2"/>
      <c r="N44" s="2"/>
    </row>
    <row r="45" spans="1:14">
      <c r="A45" s="26"/>
      <c r="B45" s="109" t="s">
        <v>3</v>
      </c>
      <c r="C45" s="20" t="s">
        <v>105</v>
      </c>
      <c r="D45" s="20" t="s">
        <v>106</v>
      </c>
      <c r="E45" s="20" t="s">
        <v>92</v>
      </c>
      <c r="F45" s="20" t="s">
        <v>100</v>
      </c>
      <c r="G45" s="22">
        <v>1</v>
      </c>
      <c r="H45" s="27"/>
      <c r="I45" s="27"/>
      <c r="J45" s="27"/>
      <c r="K45" s="12"/>
      <c r="L45" s="12"/>
      <c r="M45" s="2"/>
      <c r="N45" s="2"/>
    </row>
    <row r="46" spans="1:14">
      <c r="A46" s="21" t="s">
        <v>470</v>
      </c>
      <c r="B46" s="109" t="s">
        <v>3</v>
      </c>
      <c r="C46" s="20" t="s">
        <v>101</v>
      </c>
      <c r="D46" s="20" t="s">
        <v>102</v>
      </c>
      <c r="E46" s="20" t="s">
        <v>92</v>
      </c>
      <c r="F46" s="20" t="s">
        <v>100</v>
      </c>
      <c r="G46" s="22">
        <v>8</v>
      </c>
      <c r="H46" s="23">
        <v>11</v>
      </c>
      <c r="I46" s="23">
        <v>12</v>
      </c>
      <c r="J46" s="23" t="s">
        <v>458</v>
      </c>
      <c r="K46" s="12"/>
      <c r="L46" s="12"/>
      <c r="M46" s="2"/>
      <c r="N46" s="2"/>
    </row>
    <row r="47" spans="1:14">
      <c r="A47" s="24"/>
      <c r="B47" s="109" t="s">
        <v>3</v>
      </c>
      <c r="C47" s="20" t="s">
        <v>107</v>
      </c>
      <c r="D47" s="20" t="s">
        <v>108</v>
      </c>
      <c r="E47" s="20" t="s">
        <v>92</v>
      </c>
      <c r="F47" s="20" t="s">
        <v>100</v>
      </c>
      <c r="G47" s="22">
        <v>3</v>
      </c>
      <c r="H47" s="25"/>
      <c r="I47" s="25"/>
      <c r="J47" s="25"/>
      <c r="K47" s="12"/>
      <c r="L47" s="12"/>
      <c r="M47" s="2"/>
      <c r="N47" s="2"/>
    </row>
    <row r="48" spans="1:14">
      <c r="A48" s="24"/>
      <c r="B48" s="109" t="s">
        <v>3</v>
      </c>
      <c r="C48" s="20" t="s">
        <v>413</v>
      </c>
      <c r="D48" s="20" t="s">
        <v>414</v>
      </c>
      <c r="E48" s="20" t="s">
        <v>405</v>
      </c>
      <c r="F48" s="20" t="s">
        <v>406</v>
      </c>
      <c r="G48" s="22">
        <v>2</v>
      </c>
      <c r="H48" s="25"/>
      <c r="I48" s="25"/>
      <c r="J48" s="25"/>
      <c r="K48" s="12"/>
      <c r="L48" s="12"/>
      <c r="M48" s="2"/>
      <c r="N48" s="2"/>
    </row>
    <row r="49" spans="1:14">
      <c r="A49" s="24"/>
      <c r="B49" s="109" t="s">
        <v>3</v>
      </c>
      <c r="C49" s="20" t="s">
        <v>409</v>
      </c>
      <c r="D49" s="20" t="s">
        <v>410</v>
      </c>
      <c r="E49" s="20" t="s">
        <v>405</v>
      </c>
      <c r="F49" s="20" t="s">
        <v>406</v>
      </c>
      <c r="G49" s="22">
        <v>2</v>
      </c>
      <c r="H49" s="25"/>
      <c r="I49" s="25"/>
      <c r="J49" s="25"/>
      <c r="K49" s="12"/>
      <c r="L49" s="12"/>
      <c r="M49" s="2"/>
      <c r="N49" s="2"/>
    </row>
    <row r="50" spans="1:14">
      <c r="A50" s="24"/>
      <c r="B50" s="109" t="s">
        <v>3</v>
      </c>
      <c r="C50" s="20" t="s">
        <v>403</v>
      </c>
      <c r="D50" s="20" t="s">
        <v>404</v>
      </c>
      <c r="E50" s="20" t="s">
        <v>405</v>
      </c>
      <c r="F50" s="20" t="s">
        <v>406</v>
      </c>
      <c r="G50" s="22">
        <v>2</v>
      </c>
      <c r="H50" s="25"/>
      <c r="I50" s="25"/>
      <c r="J50" s="25"/>
      <c r="K50" s="12"/>
      <c r="L50" s="12"/>
      <c r="M50" s="2"/>
      <c r="N50" s="2"/>
    </row>
    <row r="51" spans="1:14">
      <c r="A51" s="26"/>
      <c r="B51" s="109" t="s">
        <v>3</v>
      </c>
      <c r="C51" s="20" t="s">
        <v>411</v>
      </c>
      <c r="D51" s="20" t="s">
        <v>412</v>
      </c>
      <c r="E51" s="20" t="s">
        <v>405</v>
      </c>
      <c r="F51" s="20" t="s">
        <v>406</v>
      </c>
      <c r="G51" s="22">
        <v>2</v>
      </c>
      <c r="H51" s="27"/>
      <c r="I51" s="27"/>
      <c r="J51" s="27"/>
      <c r="K51" s="12"/>
      <c r="L51" s="12"/>
      <c r="M51" s="2"/>
      <c r="N51" s="2"/>
    </row>
    <row r="52" spans="1:14">
      <c r="A52" s="21" t="s">
        <v>471</v>
      </c>
      <c r="B52" s="109" t="s">
        <v>3</v>
      </c>
      <c r="C52" s="20" t="s">
        <v>115</v>
      </c>
      <c r="D52" s="20" t="s">
        <v>116</v>
      </c>
      <c r="E52" s="20" t="s">
        <v>111</v>
      </c>
      <c r="F52" s="20" t="s">
        <v>112</v>
      </c>
      <c r="G52" s="22">
        <v>3</v>
      </c>
      <c r="H52" s="23">
        <v>11</v>
      </c>
      <c r="I52" s="23">
        <v>12</v>
      </c>
      <c r="J52" s="23" t="s">
        <v>458</v>
      </c>
      <c r="K52" s="12"/>
      <c r="L52" s="12"/>
      <c r="M52" s="2"/>
      <c r="N52" s="2"/>
    </row>
    <row r="53" spans="1:14">
      <c r="A53" s="24"/>
      <c r="B53" s="109" t="s">
        <v>3</v>
      </c>
      <c r="C53" s="20" t="s">
        <v>109</v>
      </c>
      <c r="D53" s="20" t="s">
        <v>110</v>
      </c>
      <c r="E53" s="20" t="s">
        <v>111</v>
      </c>
      <c r="F53" s="20" t="s">
        <v>112</v>
      </c>
      <c r="G53" s="22">
        <v>3</v>
      </c>
      <c r="H53" s="25"/>
      <c r="I53" s="25"/>
      <c r="J53" s="25"/>
      <c r="K53" s="12"/>
      <c r="L53" s="12"/>
      <c r="M53" s="2"/>
      <c r="N53" s="2"/>
    </row>
    <row r="54" spans="1:14">
      <c r="A54" s="24"/>
      <c r="B54" s="109" t="s">
        <v>3</v>
      </c>
      <c r="C54" s="20" t="s">
        <v>117</v>
      </c>
      <c r="D54" s="20" t="s">
        <v>118</v>
      </c>
      <c r="E54" s="20" t="s">
        <v>111</v>
      </c>
      <c r="F54" s="20" t="s">
        <v>112</v>
      </c>
      <c r="G54" s="22">
        <v>2</v>
      </c>
      <c r="H54" s="25"/>
      <c r="I54" s="25"/>
      <c r="J54" s="25"/>
      <c r="K54" s="12"/>
      <c r="L54" s="12"/>
      <c r="M54" s="2"/>
      <c r="N54" s="2"/>
    </row>
    <row r="55" spans="1:14">
      <c r="A55" s="24"/>
      <c r="B55" s="109" t="s">
        <v>3</v>
      </c>
      <c r="C55" s="20" t="s">
        <v>130</v>
      </c>
      <c r="D55" s="20" t="s">
        <v>131</v>
      </c>
      <c r="E55" s="20" t="s">
        <v>121</v>
      </c>
      <c r="F55" s="20" t="s">
        <v>132</v>
      </c>
      <c r="G55" s="22">
        <v>6</v>
      </c>
      <c r="H55" s="25"/>
      <c r="I55" s="25"/>
      <c r="J55" s="25"/>
      <c r="K55" s="12"/>
      <c r="L55" s="12"/>
      <c r="M55" s="2"/>
      <c r="N55" s="2"/>
    </row>
    <row r="56" spans="1:14">
      <c r="A56" s="26"/>
      <c r="B56" s="109" t="s">
        <v>3</v>
      </c>
      <c r="C56" s="20" t="s">
        <v>137</v>
      </c>
      <c r="D56" s="20" t="s">
        <v>138</v>
      </c>
      <c r="E56" s="20" t="s">
        <v>121</v>
      </c>
      <c r="F56" s="20" t="s">
        <v>132</v>
      </c>
      <c r="G56" s="22">
        <v>4</v>
      </c>
      <c r="H56" s="27"/>
      <c r="I56" s="27"/>
      <c r="J56" s="27"/>
      <c r="K56" s="12"/>
      <c r="L56" s="12"/>
      <c r="M56" s="2"/>
      <c r="N56" s="2"/>
    </row>
    <row r="57" spans="1:14">
      <c r="A57" s="21" t="s">
        <v>472</v>
      </c>
      <c r="B57" s="109" t="s">
        <v>3</v>
      </c>
      <c r="C57" s="20" t="s">
        <v>135</v>
      </c>
      <c r="D57" s="20" t="s">
        <v>136</v>
      </c>
      <c r="E57" s="20" t="s">
        <v>121</v>
      </c>
      <c r="F57" s="20" t="s">
        <v>132</v>
      </c>
      <c r="G57" s="22">
        <v>2</v>
      </c>
      <c r="H57" s="23">
        <v>11</v>
      </c>
      <c r="I57" s="23">
        <v>12</v>
      </c>
      <c r="J57" s="23" t="s">
        <v>458</v>
      </c>
      <c r="K57" s="12"/>
      <c r="L57" s="12"/>
      <c r="M57" s="2"/>
      <c r="N57" s="2"/>
    </row>
    <row r="58" spans="1:14">
      <c r="A58" s="24"/>
      <c r="B58" s="109" t="s">
        <v>3</v>
      </c>
      <c r="C58" s="20" t="s">
        <v>133</v>
      </c>
      <c r="D58" s="20" t="s">
        <v>134</v>
      </c>
      <c r="E58" s="20" t="s">
        <v>121</v>
      </c>
      <c r="F58" s="20" t="s">
        <v>132</v>
      </c>
      <c r="G58" s="22">
        <v>5</v>
      </c>
      <c r="H58" s="25"/>
      <c r="I58" s="25"/>
      <c r="J58" s="25"/>
      <c r="K58" s="12"/>
      <c r="L58" s="12"/>
      <c r="M58" s="2"/>
      <c r="N58" s="2"/>
    </row>
    <row r="59" spans="1:14">
      <c r="A59" s="24"/>
      <c r="B59" s="109" t="s">
        <v>3</v>
      </c>
      <c r="C59" s="20" t="s">
        <v>139</v>
      </c>
      <c r="D59" s="20" t="s">
        <v>140</v>
      </c>
      <c r="E59" s="20" t="s">
        <v>121</v>
      </c>
      <c r="F59" s="20" t="s">
        <v>132</v>
      </c>
      <c r="G59" s="22">
        <v>1</v>
      </c>
      <c r="H59" s="25"/>
      <c r="I59" s="25"/>
      <c r="J59" s="25"/>
      <c r="K59" s="12"/>
      <c r="L59" s="12"/>
      <c r="M59" s="2"/>
      <c r="N59" s="2"/>
    </row>
    <row r="60" spans="1:14">
      <c r="A60" s="24"/>
      <c r="B60" s="109" t="s">
        <v>3</v>
      </c>
      <c r="C60" s="20" t="s">
        <v>126</v>
      </c>
      <c r="D60" s="20" t="s">
        <v>127</v>
      </c>
      <c r="E60" s="20" t="s">
        <v>121</v>
      </c>
      <c r="F60" s="20" t="s">
        <v>122</v>
      </c>
      <c r="G60" s="22">
        <v>1</v>
      </c>
      <c r="H60" s="25"/>
      <c r="I60" s="25"/>
      <c r="J60" s="25"/>
      <c r="K60" s="12"/>
      <c r="L60" s="12"/>
      <c r="M60" s="2"/>
      <c r="N60" s="2"/>
    </row>
    <row r="61" spans="1:14">
      <c r="A61" s="24"/>
      <c r="B61" s="109" t="s">
        <v>3</v>
      </c>
      <c r="C61" s="20" t="s">
        <v>124</v>
      </c>
      <c r="D61" s="20" t="s">
        <v>125</v>
      </c>
      <c r="E61" s="20" t="s">
        <v>121</v>
      </c>
      <c r="F61" s="20" t="s">
        <v>122</v>
      </c>
      <c r="G61" s="22">
        <v>2</v>
      </c>
      <c r="H61" s="25"/>
      <c r="I61" s="25"/>
      <c r="J61" s="25"/>
      <c r="K61" s="12"/>
      <c r="L61" s="12"/>
      <c r="M61" s="2"/>
      <c r="N61" s="2"/>
    </row>
    <row r="62" spans="1:14">
      <c r="A62" s="24"/>
      <c r="B62" s="109" t="s">
        <v>3</v>
      </c>
      <c r="C62" s="20" t="s">
        <v>119</v>
      </c>
      <c r="D62" s="20" t="s">
        <v>120</v>
      </c>
      <c r="E62" s="20" t="s">
        <v>121</v>
      </c>
      <c r="F62" s="20" t="s">
        <v>122</v>
      </c>
      <c r="G62" s="22">
        <v>2</v>
      </c>
      <c r="H62" s="25"/>
      <c r="I62" s="25"/>
      <c r="J62" s="25"/>
      <c r="K62" s="12"/>
      <c r="L62" s="12"/>
      <c r="M62" s="2"/>
      <c r="N62" s="2"/>
    </row>
    <row r="63" spans="1:14">
      <c r="A63" s="24"/>
      <c r="B63" s="109" t="s">
        <v>3</v>
      </c>
      <c r="C63" s="20" t="s">
        <v>128</v>
      </c>
      <c r="D63" s="20" t="s">
        <v>129</v>
      </c>
      <c r="E63" s="20" t="s">
        <v>121</v>
      </c>
      <c r="F63" s="20" t="s">
        <v>122</v>
      </c>
      <c r="G63" s="22">
        <v>1</v>
      </c>
      <c r="H63" s="25"/>
      <c r="I63" s="25"/>
      <c r="J63" s="25"/>
      <c r="K63" s="12"/>
      <c r="L63" s="12"/>
      <c r="M63" s="2"/>
      <c r="N63" s="2"/>
    </row>
    <row r="64" spans="1:14">
      <c r="A64" s="26"/>
      <c r="B64" s="109" t="s">
        <v>3</v>
      </c>
      <c r="C64" s="20" t="s">
        <v>171</v>
      </c>
      <c r="D64" s="20" t="s">
        <v>172</v>
      </c>
      <c r="E64" s="20" t="s">
        <v>167</v>
      </c>
      <c r="F64" s="20" t="s">
        <v>168</v>
      </c>
      <c r="G64" s="22">
        <v>10</v>
      </c>
      <c r="H64" s="27"/>
      <c r="I64" s="27"/>
      <c r="J64" s="27"/>
      <c r="K64" s="12"/>
      <c r="L64" s="12"/>
      <c r="M64" s="2"/>
      <c r="N64" s="2"/>
    </row>
    <row r="65" spans="1:14">
      <c r="A65" s="19" t="s">
        <v>473</v>
      </c>
      <c r="B65" s="109" t="s">
        <v>3</v>
      </c>
      <c r="C65" s="20" t="s">
        <v>169</v>
      </c>
      <c r="D65" s="20" t="s">
        <v>170</v>
      </c>
      <c r="E65" s="20" t="s">
        <v>167</v>
      </c>
      <c r="F65" s="20" t="s">
        <v>168</v>
      </c>
      <c r="G65" s="22">
        <v>30</v>
      </c>
      <c r="H65" s="28">
        <v>11</v>
      </c>
      <c r="I65" s="28">
        <v>12</v>
      </c>
      <c r="J65" s="19" t="s">
        <v>458</v>
      </c>
      <c r="K65" s="12"/>
      <c r="L65" s="12"/>
      <c r="M65" s="2"/>
      <c r="N65" s="2"/>
    </row>
    <row r="66" spans="1:14">
      <c r="A66" s="19" t="s">
        <v>474</v>
      </c>
      <c r="B66" s="109" t="s">
        <v>3</v>
      </c>
      <c r="C66" s="20" t="s">
        <v>165</v>
      </c>
      <c r="D66" s="20" t="s">
        <v>166</v>
      </c>
      <c r="E66" s="20" t="s">
        <v>167</v>
      </c>
      <c r="F66" s="20" t="s">
        <v>168</v>
      </c>
      <c r="G66" s="22">
        <v>24</v>
      </c>
      <c r="H66" s="28">
        <v>11</v>
      </c>
      <c r="I66" s="28">
        <v>12</v>
      </c>
      <c r="J66" s="19" t="s">
        <v>458</v>
      </c>
      <c r="K66" s="12"/>
      <c r="L66" s="12"/>
      <c r="M66" s="2"/>
      <c r="N66" s="2"/>
    </row>
    <row r="67" spans="1:14">
      <c r="A67" s="19" t="s">
        <v>475</v>
      </c>
      <c r="B67" s="109" t="s">
        <v>3</v>
      </c>
      <c r="C67" s="20" t="s">
        <v>165</v>
      </c>
      <c r="D67" s="20" t="s">
        <v>166</v>
      </c>
      <c r="E67" s="20" t="s">
        <v>167</v>
      </c>
      <c r="F67" s="20" t="s">
        <v>168</v>
      </c>
      <c r="G67" s="22">
        <v>24</v>
      </c>
      <c r="H67" s="28">
        <v>11</v>
      </c>
      <c r="I67" s="28">
        <v>12</v>
      </c>
      <c r="J67" s="19" t="s">
        <v>458</v>
      </c>
      <c r="K67" s="12"/>
      <c r="L67" s="12"/>
      <c r="M67" s="2"/>
      <c r="N67" s="2"/>
    </row>
    <row r="68" spans="1:14">
      <c r="A68" s="19" t="s">
        <v>476</v>
      </c>
      <c r="B68" s="109" t="s">
        <v>3</v>
      </c>
      <c r="C68" s="20" t="s">
        <v>165</v>
      </c>
      <c r="D68" s="20" t="s">
        <v>166</v>
      </c>
      <c r="E68" s="20" t="s">
        <v>167</v>
      </c>
      <c r="F68" s="20" t="s">
        <v>168</v>
      </c>
      <c r="G68" s="22">
        <v>24</v>
      </c>
      <c r="H68" s="28">
        <v>11</v>
      </c>
      <c r="I68" s="28">
        <v>12</v>
      </c>
      <c r="J68" s="19" t="s">
        <v>458</v>
      </c>
      <c r="K68" s="12"/>
      <c r="L68" s="12"/>
      <c r="M68" s="2"/>
      <c r="N68" s="2"/>
    </row>
    <row r="69" spans="1:14">
      <c r="A69" s="19" t="s">
        <v>477</v>
      </c>
      <c r="B69" s="109" t="s">
        <v>3</v>
      </c>
      <c r="C69" s="20" t="s">
        <v>173</v>
      </c>
      <c r="D69" s="20" t="s">
        <v>174</v>
      </c>
      <c r="E69" s="20" t="s">
        <v>167</v>
      </c>
      <c r="F69" s="20" t="s">
        <v>168</v>
      </c>
      <c r="G69" s="22">
        <v>24</v>
      </c>
      <c r="H69" s="28">
        <v>11</v>
      </c>
      <c r="I69" s="28">
        <v>12</v>
      </c>
      <c r="J69" s="19" t="s">
        <v>458</v>
      </c>
      <c r="K69" s="12"/>
      <c r="L69" s="12"/>
      <c r="M69" s="2"/>
      <c r="N69" s="2"/>
    </row>
    <row r="70" spans="1:14">
      <c r="A70" s="19" t="s">
        <v>478</v>
      </c>
      <c r="B70" s="109" t="s">
        <v>3</v>
      </c>
      <c r="C70" s="20" t="s">
        <v>173</v>
      </c>
      <c r="D70" s="20" t="s">
        <v>174</v>
      </c>
      <c r="E70" s="20" t="s">
        <v>167</v>
      </c>
      <c r="F70" s="20" t="s">
        <v>168</v>
      </c>
      <c r="G70" s="22">
        <v>24</v>
      </c>
      <c r="H70" s="28">
        <v>11</v>
      </c>
      <c r="I70" s="28">
        <v>12</v>
      </c>
      <c r="J70" s="19" t="s">
        <v>458</v>
      </c>
      <c r="K70" s="12"/>
      <c r="L70" s="12"/>
      <c r="M70" s="2"/>
      <c r="N70" s="2"/>
    </row>
    <row r="71" spans="1:14">
      <c r="A71" s="19" t="s">
        <v>479</v>
      </c>
      <c r="B71" s="109" t="s">
        <v>3</v>
      </c>
      <c r="C71" s="20" t="s">
        <v>173</v>
      </c>
      <c r="D71" s="20" t="s">
        <v>174</v>
      </c>
      <c r="E71" s="20" t="s">
        <v>167</v>
      </c>
      <c r="F71" s="20" t="s">
        <v>168</v>
      </c>
      <c r="G71" s="22">
        <v>24</v>
      </c>
      <c r="H71" s="28">
        <v>11</v>
      </c>
      <c r="I71" s="28">
        <v>12</v>
      </c>
      <c r="J71" s="19" t="s">
        <v>458</v>
      </c>
      <c r="K71" s="12"/>
      <c r="L71" s="12"/>
      <c r="M71" s="2"/>
      <c r="N71" s="2"/>
    </row>
    <row r="72" spans="1:14">
      <c r="A72" s="19" t="s">
        <v>480</v>
      </c>
      <c r="B72" s="109" t="s">
        <v>3</v>
      </c>
      <c r="C72" s="20" t="s">
        <v>173</v>
      </c>
      <c r="D72" s="20" t="s">
        <v>174</v>
      </c>
      <c r="E72" s="20" t="s">
        <v>167</v>
      </c>
      <c r="F72" s="20" t="s">
        <v>168</v>
      </c>
      <c r="G72" s="22">
        <v>24</v>
      </c>
      <c r="H72" s="28">
        <v>11</v>
      </c>
      <c r="I72" s="28">
        <v>12</v>
      </c>
      <c r="J72" s="19" t="s">
        <v>458</v>
      </c>
      <c r="K72" s="12"/>
      <c r="L72" s="12"/>
      <c r="M72" s="2"/>
      <c r="N72" s="2"/>
    </row>
    <row r="73" spans="1:14">
      <c r="A73" s="19" t="s">
        <v>481</v>
      </c>
      <c r="B73" s="109" t="s">
        <v>3</v>
      </c>
      <c r="C73" s="20" t="s">
        <v>175</v>
      </c>
      <c r="D73" s="20" t="s">
        <v>176</v>
      </c>
      <c r="E73" s="20" t="s">
        <v>167</v>
      </c>
      <c r="F73" s="20" t="s">
        <v>168</v>
      </c>
      <c r="G73" s="22">
        <v>24</v>
      </c>
      <c r="H73" s="28">
        <v>11</v>
      </c>
      <c r="I73" s="28">
        <v>12</v>
      </c>
      <c r="J73" s="19" t="s">
        <v>458</v>
      </c>
      <c r="K73" s="12"/>
      <c r="L73" s="12"/>
      <c r="M73" s="2"/>
      <c r="N73" s="2"/>
    </row>
    <row r="74" spans="1:14">
      <c r="A74" s="21" t="s">
        <v>482</v>
      </c>
      <c r="B74" s="109" t="s">
        <v>3</v>
      </c>
      <c r="C74" s="20" t="s">
        <v>171</v>
      </c>
      <c r="D74" s="20" t="s">
        <v>172</v>
      </c>
      <c r="E74" s="20" t="s">
        <v>167</v>
      </c>
      <c r="F74" s="20" t="s">
        <v>168</v>
      </c>
      <c r="G74" s="22">
        <v>10</v>
      </c>
      <c r="H74" s="23">
        <v>11</v>
      </c>
      <c r="I74" s="23">
        <v>12</v>
      </c>
      <c r="J74" s="23" t="s">
        <v>458</v>
      </c>
      <c r="K74" s="12"/>
      <c r="L74" s="12"/>
      <c r="M74" s="2"/>
      <c r="N74" s="2"/>
    </row>
    <row r="75" spans="1:14">
      <c r="A75" s="26"/>
      <c r="B75" s="109" t="s">
        <v>3</v>
      </c>
      <c r="C75" s="20" t="s">
        <v>169</v>
      </c>
      <c r="D75" s="20" t="s">
        <v>170</v>
      </c>
      <c r="E75" s="20" t="s">
        <v>167</v>
      </c>
      <c r="F75" s="20" t="s">
        <v>168</v>
      </c>
      <c r="G75" s="22">
        <v>20</v>
      </c>
      <c r="H75" s="27"/>
      <c r="I75" s="27"/>
      <c r="J75" s="27"/>
      <c r="K75" s="12"/>
      <c r="L75" s="12"/>
      <c r="M75" s="2"/>
      <c r="N75" s="2"/>
    </row>
    <row r="76" spans="1:14">
      <c r="A76" s="21" t="s">
        <v>483</v>
      </c>
      <c r="B76" s="109" t="s">
        <v>3</v>
      </c>
      <c r="C76" s="20" t="s">
        <v>169</v>
      </c>
      <c r="D76" s="20" t="s">
        <v>170</v>
      </c>
      <c r="E76" s="20" t="s">
        <v>167</v>
      </c>
      <c r="F76" s="20" t="s">
        <v>168</v>
      </c>
      <c r="G76" s="22">
        <v>2</v>
      </c>
      <c r="H76" s="23">
        <v>11</v>
      </c>
      <c r="I76" s="23">
        <v>12</v>
      </c>
      <c r="J76" s="23" t="s">
        <v>458</v>
      </c>
      <c r="K76" s="12"/>
      <c r="L76" s="12"/>
      <c r="M76" s="2"/>
      <c r="N76" s="2"/>
    </row>
    <row r="77" spans="1:14">
      <c r="A77" s="24"/>
      <c r="B77" s="109" t="s">
        <v>3</v>
      </c>
      <c r="C77" s="20" t="s">
        <v>165</v>
      </c>
      <c r="D77" s="20" t="s">
        <v>166</v>
      </c>
      <c r="E77" s="20" t="s">
        <v>167</v>
      </c>
      <c r="F77" s="20" t="s">
        <v>168</v>
      </c>
      <c r="G77" s="22">
        <v>1</v>
      </c>
      <c r="H77" s="25"/>
      <c r="I77" s="25"/>
      <c r="J77" s="25"/>
      <c r="K77" s="12"/>
      <c r="L77" s="12"/>
      <c r="M77" s="2"/>
      <c r="N77" s="2"/>
    </row>
    <row r="78" spans="1:14">
      <c r="A78" s="24"/>
      <c r="B78" s="109" t="s">
        <v>3</v>
      </c>
      <c r="C78" s="20" t="s">
        <v>173</v>
      </c>
      <c r="D78" s="20" t="s">
        <v>174</v>
      </c>
      <c r="E78" s="20" t="s">
        <v>167</v>
      </c>
      <c r="F78" s="20" t="s">
        <v>168</v>
      </c>
      <c r="G78" s="22">
        <v>6</v>
      </c>
      <c r="H78" s="25"/>
      <c r="I78" s="25"/>
      <c r="J78" s="25"/>
      <c r="K78" s="12"/>
      <c r="L78" s="12"/>
      <c r="M78" s="2"/>
      <c r="N78" s="2"/>
    </row>
    <row r="79" spans="1:14">
      <c r="A79" s="24"/>
      <c r="B79" s="109" t="s">
        <v>3</v>
      </c>
      <c r="C79" s="20" t="s">
        <v>175</v>
      </c>
      <c r="D79" s="20" t="s">
        <v>176</v>
      </c>
      <c r="E79" s="20" t="s">
        <v>167</v>
      </c>
      <c r="F79" s="20" t="s">
        <v>168</v>
      </c>
      <c r="G79" s="22">
        <v>11</v>
      </c>
      <c r="H79" s="25"/>
      <c r="I79" s="25"/>
      <c r="J79" s="25"/>
      <c r="K79" s="12"/>
      <c r="L79" s="12"/>
      <c r="M79" s="2"/>
      <c r="N79" s="2"/>
    </row>
    <row r="80" spans="1:14">
      <c r="A80" s="24"/>
      <c r="B80" s="109" t="s">
        <v>3</v>
      </c>
      <c r="C80" s="20" t="s">
        <v>208</v>
      </c>
      <c r="D80" s="20" t="s">
        <v>209</v>
      </c>
      <c r="E80" s="20" t="s">
        <v>179</v>
      </c>
      <c r="F80" s="20" t="s">
        <v>201</v>
      </c>
      <c r="G80" s="22">
        <v>2</v>
      </c>
      <c r="H80" s="25"/>
      <c r="I80" s="25"/>
      <c r="J80" s="25"/>
      <c r="K80" s="12"/>
      <c r="L80" s="12"/>
      <c r="M80" s="2"/>
      <c r="N80" s="2"/>
    </row>
    <row r="81" spans="1:14">
      <c r="A81" s="26"/>
      <c r="B81" s="109" t="s">
        <v>3</v>
      </c>
      <c r="C81" s="20" t="s">
        <v>206</v>
      </c>
      <c r="D81" s="20" t="s">
        <v>207</v>
      </c>
      <c r="E81" s="20" t="s">
        <v>179</v>
      </c>
      <c r="F81" s="20" t="s">
        <v>201</v>
      </c>
      <c r="G81" s="22">
        <v>2</v>
      </c>
      <c r="H81" s="27"/>
      <c r="I81" s="27"/>
      <c r="J81" s="27"/>
      <c r="K81" s="12"/>
      <c r="L81" s="12"/>
      <c r="M81" s="2"/>
      <c r="N81" s="2"/>
    </row>
    <row r="82" spans="1:14">
      <c r="A82" s="21" t="s">
        <v>484</v>
      </c>
      <c r="B82" s="109" t="s">
        <v>3</v>
      </c>
      <c r="C82" s="20" t="s">
        <v>204</v>
      </c>
      <c r="D82" s="20" t="s">
        <v>205</v>
      </c>
      <c r="E82" s="20" t="s">
        <v>179</v>
      </c>
      <c r="F82" s="20" t="s">
        <v>201</v>
      </c>
      <c r="G82" s="22">
        <v>3</v>
      </c>
      <c r="H82" s="23">
        <v>11</v>
      </c>
      <c r="I82" s="23">
        <v>12</v>
      </c>
      <c r="J82" s="23" t="s">
        <v>458</v>
      </c>
      <c r="K82" s="12"/>
      <c r="L82" s="12"/>
      <c r="M82" s="2"/>
      <c r="N82" s="2"/>
    </row>
    <row r="83" spans="1:14">
      <c r="A83" s="24"/>
      <c r="B83" s="109" t="s">
        <v>3</v>
      </c>
      <c r="C83" s="20" t="s">
        <v>202</v>
      </c>
      <c r="D83" s="20" t="s">
        <v>203</v>
      </c>
      <c r="E83" s="20" t="s">
        <v>179</v>
      </c>
      <c r="F83" s="20" t="s">
        <v>201</v>
      </c>
      <c r="G83" s="22">
        <v>3</v>
      </c>
      <c r="H83" s="25"/>
      <c r="I83" s="25"/>
      <c r="J83" s="25"/>
      <c r="K83" s="12"/>
      <c r="L83" s="12"/>
      <c r="M83" s="2"/>
      <c r="N83" s="2"/>
    </row>
    <row r="84" spans="1:14">
      <c r="A84" s="24"/>
      <c r="B84" s="109" t="s">
        <v>3</v>
      </c>
      <c r="C84" s="20" t="s">
        <v>199</v>
      </c>
      <c r="D84" s="20" t="s">
        <v>200</v>
      </c>
      <c r="E84" s="20" t="s">
        <v>179</v>
      </c>
      <c r="F84" s="20" t="s">
        <v>201</v>
      </c>
      <c r="G84" s="22">
        <v>3</v>
      </c>
      <c r="H84" s="25"/>
      <c r="I84" s="25"/>
      <c r="J84" s="25"/>
      <c r="K84" s="12"/>
      <c r="L84" s="12"/>
      <c r="M84" s="2"/>
      <c r="N84" s="2"/>
    </row>
    <row r="85" spans="1:14">
      <c r="A85" s="24"/>
      <c r="B85" s="109" t="s">
        <v>3</v>
      </c>
      <c r="C85" s="20" t="s">
        <v>197</v>
      </c>
      <c r="D85" s="20" t="s">
        <v>198</v>
      </c>
      <c r="E85" s="20" t="s">
        <v>179</v>
      </c>
      <c r="F85" s="20" t="s">
        <v>190</v>
      </c>
      <c r="G85" s="22">
        <v>2</v>
      </c>
      <c r="H85" s="25"/>
      <c r="I85" s="25"/>
      <c r="J85" s="25"/>
      <c r="K85" s="12"/>
      <c r="L85" s="12"/>
      <c r="M85" s="2"/>
      <c r="N85" s="2"/>
    </row>
    <row r="86" spans="1:14">
      <c r="A86" s="24"/>
      <c r="B86" s="109" t="s">
        <v>3</v>
      </c>
      <c r="C86" s="20" t="s">
        <v>193</v>
      </c>
      <c r="D86" s="20" t="s">
        <v>194</v>
      </c>
      <c r="E86" s="20" t="s">
        <v>179</v>
      </c>
      <c r="F86" s="20" t="s">
        <v>190</v>
      </c>
      <c r="G86" s="22">
        <v>3</v>
      </c>
      <c r="H86" s="25"/>
      <c r="I86" s="25"/>
      <c r="J86" s="25"/>
      <c r="K86" s="12"/>
      <c r="L86" s="12"/>
      <c r="M86" s="2"/>
      <c r="N86" s="2"/>
    </row>
    <row r="87" spans="1:14">
      <c r="A87" s="24"/>
      <c r="B87" s="109" t="s">
        <v>3</v>
      </c>
      <c r="C87" s="20" t="s">
        <v>191</v>
      </c>
      <c r="D87" s="20" t="s">
        <v>192</v>
      </c>
      <c r="E87" s="20" t="s">
        <v>179</v>
      </c>
      <c r="F87" s="20" t="s">
        <v>190</v>
      </c>
      <c r="G87" s="22">
        <v>5</v>
      </c>
      <c r="H87" s="25"/>
      <c r="I87" s="25"/>
      <c r="J87" s="25"/>
      <c r="K87" s="12"/>
      <c r="L87" s="12"/>
      <c r="M87" s="2"/>
      <c r="N87" s="2"/>
    </row>
    <row r="88" spans="1:14">
      <c r="A88" s="26"/>
      <c r="B88" s="109" t="s">
        <v>3</v>
      </c>
      <c r="C88" s="20" t="s">
        <v>195</v>
      </c>
      <c r="D88" s="20" t="s">
        <v>196</v>
      </c>
      <c r="E88" s="20" t="s">
        <v>179</v>
      </c>
      <c r="F88" s="20" t="s">
        <v>190</v>
      </c>
      <c r="G88" s="22">
        <v>2</v>
      </c>
      <c r="H88" s="27"/>
      <c r="I88" s="27"/>
      <c r="J88" s="27"/>
      <c r="K88" s="12"/>
      <c r="L88" s="12"/>
      <c r="M88" s="2"/>
      <c r="N88" s="2"/>
    </row>
    <row r="89" spans="1:14">
      <c r="A89" s="21" t="s">
        <v>485</v>
      </c>
      <c r="B89" s="109" t="s">
        <v>3</v>
      </c>
      <c r="C89" s="20" t="s">
        <v>188</v>
      </c>
      <c r="D89" s="20" t="s">
        <v>189</v>
      </c>
      <c r="E89" s="20" t="s">
        <v>179</v>
      </c>
      <c r="F89" s="20" t="s">
        <v>190</v>
      </c>
      <c r="G89" s="22">
        <v>5</v>
      </c>
      <c r="H89" s="23">
        <v>11</v>
      </c>
      <c r="I89" s="23">
        <v>12</v>
      </c>
      <c r="J89" s="23" t="s">
        <v>458</v>
      </c>
      <c r="K89" s="12"/>
      <c r="L89" s="12"/>
      <c r="M89" s="2"/>
      <c r="N89" s="2"/>
    </row>
    <row r="90" spans="1:14">
      <c r="A90" s="24"/>
      <c r="B90" s="109" t="s">
        <v>3</v>
      </c>
      <c r="C90" s="20" t="s">
        <v>184</v>
      </c>
      <c r="D90" s="20" t="s">
        <v>185</v>
      </c>
      <c r="E90" s="20" t="s">
        <v>179</v>
      </c>
      <c r="F90" s="20" t="s">
        <v>180</v>
      </c>
      <c r="G90" s="22">
        <v>1</v>
      </c>
      <c r="H90" s="25"/>
      <c r="I90" s="25"/>
      <c r="J90" s="25"/>
      <c r="K90" s="12"/>
      <c r="L90" s="12"/>
      <c r="M90" s="2"/>
      <c r="N90" s="2"/>
    </row>
    <row r="91" spans="1:14">
      <c r="A91" s="24"/>
      <c r="B91" s="109" t="s">
        <v>3</v>
      </c>
      <c r="C91" s="20" t="s">
        <v>182</v>
      </c>
      <c r="D91" s="20" t="s">
        <v>183</v>
      </c>
      <c r="E91" s="20" t="s">
        <v>179</v>
      </c>
      <c r="F91" s="20" t="s">
        <v>180</v>
      </c>
      <c r="G91" s="22">
        <v>2</v>
      </c>
      <c r="H91" s="25"/>
      <c r="I91" s="25"/>
      <c r="J91" s="25"/>
      <c r="K91" s="12"/>
      <c r="L91" s="12"/>
      <c r="M91" s="2"/>
      <c r="N91" s="2"/>
    </row>
    <row r="92" spans="1:14">
      <c r="A92" s="24"/>
      <c r="B92" s="109" t="s">
        <v>3</v>
      </c>
      <c r="C92" s="20" t="s">
        <v>177</v>
      </c>
      <c r="D92" s="20" t="s">
        <v>178</v>
      </c>
      <c r="E92" s="20" t="s">
        <v>179</v>
      </c>
      <c r="F92" s="20" t="s">
        <v>180</v>
      </c>
      <c r="G92" s="22">
        <v>2</v>
      </c>
      <c r="H92" s="25"/>
      <c r="I92" s="25"/>
      <c r="J92" s="25"/>
      <c r="K92" s="12"/>
      <c r="L92" s="12"/>
      <c r="M92" s="2"/>
      <c r="N92" s="2"/>
    </row>
    <row r="93" spans="1:14">
      <c r="A93" s="24"/>
      <c r="B93" s="109" t="s">
        <v>3</v>
      </c>
      <c r="C93" s="20" t="s">
        <v>186</v>
      </c>
      <c r="D93" s="20" t="s">
        <v>187</v>
      </c>
      <c r="E93" s="20" t="s">
        <v>179</v>
      </c>
      <c r="F93" s="20" t="s">
        <v>180</v>
      </c>
      <c r="G93" s="22">
        <v>1</v>
      </c>
      <c r="H93" s="25"/>
      <c r="I93" s="25"/>
      <c r="J93" s="25"/>
      <c r="K93" s="12"/>
      <c r="L93" s="12"/>
      <c r="M93" s="2"/>
      <c r="N93" s="2"/>
    </row>
    <row r="94" spans="1:14">
      <c r="A94" s="24"/>
      <c r="B94" s="109" t="s">
        <v>3</v>
      </c>
      <c r="C94" s="20" t="s">
        <v>217</v>
      </c>
      <c r="D94" s="20" t="s">
        <v>218</v>
      </c>
      <c r="E94" s="20" t="s">
        <v>212</v>
      </c>
      <c r="F94" s="20" t="s">
        <v>122</v>
      </c>
      <c r="G94" s="22">
        <v>1</v>
      </c>
      <c r="H94" s="25"/>
      <c r="I94" s="25"/>
      <c r="J94" s="25"/>
      <c r="K94" s="12"/>
      <c r="L94" s="12"/>
      <c r="M94" s="2"/>
      <c r="N94" s="2"/>
    </row>
    <row r="95" spans="1:14">
      <c r="A95" s="24"/>
      <c r="B95" s="109" t="s">
        <v>3</v>
      </c>
      <c r="C95" s="20" t="s">
        <v>215</v>
      </c>
      <c r="D95" s="20" t="s">
        <v>216</v>
      </c>
      <c r="E95" s="20" t="s">
        <v>212</v>
      </c>
      <c r="F95" s="20" t="s">
        <v>122</v>
      </c>
      <c r="G95" s="22">
        <v>1</v>
      </c>
      <c r="H95" s="25"/>
      <c r="I95" s="25"/>
      <c r="J95" s="25"/>
      <c r="K95" s="12"/>
      <c r="L95" s="12"/>
      <c r="M95" s="2"/>
      <c r="N95" s="2"/>
    </row>
    <row r="96" spans="1:14">
      <c r="A96" s="24"/>
      <c r="B96" s="109" t="s">
        <v>3</v>
      </c>
      <c r="C96" s="20" t="s">
        <v>213</v>
      </c>
      <c r="D96" s="20" t="s">
        <v>214</v>
      </c>
      <c r="E96" s="20" t="s">
        <v>212</v>
      </c>
      <c r="F96" s="20" t="s">
        <v>122</v>
      </c>
      <c r="G96" s="22">
        <v>1</v>
      </c>
      <c r="H96" s="25"/>
      <c r="I96" s="25"/>
      <c r="J96" s="25"/>
      <c r="K96" s="12"/>
      <c r="L96" s="12"/>
      <c r="M96" s="2"/>
      <c r="N96" s="2"/>
    </row>
    <row r="97" spans="1:14">
      <c r="A97" s="24"/>
      <c r="B97" s="109" t="s">
        <v>3</v>
      </c>
      <c r="C97" s="20" t="s">
        <v>210</v>
      </c>
      <c r="D97" s="20" t="s">
        <v>211</v>
      </c>
      <c r="E97" s="20" t="s">
        <v>212</v>
      </c>
      <c r="F97" s="20" t="s">
        <v>122</v>
      </c>
      <c r="G97" s="22">
        <v>1</v>
      </c>
      <c r="H97" s="25"/>
      <c r="I97" s="25"/>
      <c r="J97" s="25"/>
      <c r="K97" s="12"/>
      <c r="L97" s="12"/>
      <c r="M97" s="2"/>
      <c r="N97" s="2"/>
    </row>
    <row r="98" spans="1:14">
      <c r="A98" s="26"/>
      <c r="B98" s="109" t="s">
        <v>3</v>
      </c>
      <c r="C98" s="20" t="s">
        <v>231</v>
      </c>
      <c r="D98" s="20" t="s">
        <v>232</v>
      </c>
      <c r="E98" s="20" t="s">
        <v>221</v>
      </c>
      <c r="F98" s="20" t="s">
        <v>132</v>
      </c>
      <c r="G98" s="22">
        <v>3</v>
      </c>
      <c r="H98" s="27"/>
      <c r="I98" s="27"/>
      <c r="J98" s="27"/>
      <c r="K98" s="12"/>
      <c r="L98" s="12"/>
      <c r="M98" s="2"/>
      <c r="N98" s="2"/>
    </row>
    <row r="99" spans="1:14">
      <c r="A99" s="21" t="s">
        <v>486</v>
      </c>
      <c r="B99" s="109" t="s">
        <v>3</v>
      </c>
      <c r="C99" s="20" t="s">
        <v>239</v>
      </c>
      <c r="D99" s="20" t="s">
        <v>240</v>
      </c>
      <c r="E99" s="20" t="s">
        <v>221</v>
      </c>
      <c r="F99" s="20" t="s">
        <v>132</v>
      </c>
      <c r="G99" s="22">
        <v>2</v>
      </c>
      <c r="H99" s="23">
        <v>11</v>
      </c>
      <c r="I99" s="23">
        <v>12</v>
      </c>
      <c r="J99" s="23" t="s">
        <v>458</v>
      </c>
      <c r="K99" s="12"/>
      <c r="L99" s="12"/>
      <c r="M99" s="2"/>
      <c r="N99" s="2"/>
    </row>
    <row r="100" spans="1:14">
      <c r="A100" s="24"/>
      <c r="B100" s="109" t="s">
        <v>3</v>
      </c>
      <c r="C100" s="20" t="s">
        <v>235</v>
      </c>
      <c r="D100" s="20" t="s">
        <v>236</v>
      </c>
      <c r="E100" s="20" t="s">
        <v>221</v>
      </c>
      <c r="F100" s="20" t="s">
        <v>132</v>
      </c>
      <c r="G100" s="22">
        <v>4</v>
      </c>
      <c r="H100" s="25"/>
      <c r="I100" s="25"/>
      <c r="J100" s="25"/>
      <c r="K100" s="12"/>
      <c r="L100" s="12"/>
      <c r="M100" s="2"/>
      <c r="N100" s="2"/>
    </row>
    <row r="101" spans="1:14">
      <c r="A101" s="24"/>
      <c r="B101" s="109" t="s">
        <v>3</v>
      </c>
      <c r="C101" s="20" t="s">
        <v>233</v>
      </c>
      <c r="D101" s="20" t="s">
        <v>234</v>
      </c>
      <c r="E101" s="20" t="s">
        <v>221</v>
      </c>
      <c r="F101" s="20" t="s">
        <v>132</v>
      </c>
      <c r="G101" s="22">
        <v>5</v>
      </c>
      <c r="H101" s="25"/>
      <c r="I101" s="25"/>
      <c r="J101" s="25"/>
      <c r="K101" s="12"/>
      <c r="L101" s="12"/>
      <c r="M101" s="2"/>
      <c r="N101" s="2"/>
    </row>
    <row r="102" spans="1:14">
      <c r="A102" s="24"/>
      <c r="B102" s="109" t="s">
        <v>3</v>
      </c>
      <c r="C102" s="20" t="s">
        <v>237</v>
      </c>
      <c r="D102" s="20" t="s">
        <v>238</v>
      </c>
      <c r="E102" s="20" t="s">
        <v>221</v>
      </c>
      <c r="F102" s="20" t="s">
        <v>132</v>
      </c>
      <c r="G102" s="22">
        <v>2</v>
      </c>
      <c r="H102" s="25"/>
      <c r="I102" s="25"/>
      <c r="J102" s="25"/>
      <c r="K102" s="12"/>
      <c r="L102" s="12"/>
      <c r="M102" s="2"/>
      <c r="N102" s="2"/>
    </row>
    <row r="103" spans="1:14">
      <c r="A103" s="26"/>
      <c r="B103" s="109" t="s">
        <v>3</v>
      </c>
      <c r="C103" s="20" t="s">
        <v>227</v>
      </c>
      <c r="D103" s="20" t="s">
        <v>228</v>
      </c>
      <c r="E103" s="20" t="s">
        <v>221</v>
      </c>
      <c r="F103" s="20" t="s">
        <v>222</v>
      </c>
      <c r="G103" s="22">
        <v>5</v>
      </c>
      <c r="H103" s="27"/>
      <c r="I103" s="27"/>
      <c r="J103" s="27"/>
      <c r="K103" s="12"/>
      <c r="L103" s="12"/>
      <c r="M103" s="2"/>
      <c r="N103" s="2"/>
    </row>
    <row r="104" spans="1:14">
      <c r="A104" s="19" t="s">
        <v>487</v>
      </c>
      <c r="B104" s="109" t="s">
        <v>3</v>
      </c>
      <c r="C104" s="20" t="s">
        <v>225</v>
      </c>
      <c r="D104" s="20" t="s">
        <v>226</v>
      </c>
      <c r="E104" s="20" t="s">
        <v>221</v>
      </c>
      <c r="F104" s="20" t="s">
        <v>222</v>
      </c>
      <c r="G104" s="22">
        <v>18</v>
      </c>
      <c r="H104" s="28">
        <v>11</v>
      </c>
      <c r="I104" s="28">
        <v>12</v>
      </c>
      <c r="J104" s="19" t="s">
        <v>458</v>
      </c>
      <c r="K104" s="12"/>
      <c r="L104" s="12"/>
      <c r="M104" s="2"/>
      <c r="N104" s="2"/>
    </row>
    <row r="105" spans="1:14">
      <c r="A105" s="19" t="s">
        <v>488</v>
      </c>
      <c r="B105" s="109" t="s">
        <v>3</v>
      </c>
      <c r="C105" s="20" t="s">
        <v>223</v>
      </c>
      <c r="D105" s="20" t="s">
        <v>224</v>
      </c>
      <c r="E105" s="20" t="s">
        <v>221</v>
      </c>
      <c r="F105" s="20" t="s">
        <v>222</v>
      </c>
      <c r="G105" s="22">
        <v>18</v>
      </c>
      <c r="H105" s="28">
        <v>11</v>
      </c>
      <c r="I105" s="28">
        <v>12</v>
      </c>
      <c r="J105" s="19" t="s">
        <v>458</v>
      </c>
      <c r="K105" s="12"/>
      <c r="L105" s="12"/>
      <c r="M105" s="2"/>
      <c r="N105" s="2"/>
    </row>
    <row r="106" spans="1:14">
      <c r="A106" s="19" t="s">
        <v>489</v>
      </c>
      <c r="B106" s="109" t="s">
        <v>3</v>
      </c>
      <c r="C106" s="20" t="s">
        <v>219</v>
      </c>
      <c r="D106" s="20" t="s">
        <v>220</v>
      </c>
      <c r="E106" s="20" t="s">
        <v>221</v>
      </c>
      <c r="F106" s="20" t="s">
        <v>222</v>
      </c>
      <c r="G106" s="22">
        <v>18</v>
      </c>
      <c r="H106" s="28">
        <v>11</v>
      </c>
      <c r="I106" s="28">
        <v>12</v>
      </c>
      <c r="J106" s="19" t="s">
        <v>458</v>
      </c>
      <c r="K106" s="12"/>
      <c r="L106" s="12"/>
      <c r="M106" s="2"/>
      <c r="N106" s="2"/>
    </row>
    <row r="107" spans="1:14">
      <c r="A107" s="21" t="s">
        <v>490</v>
      </c>
      <c r="B107" s="109" t="s">
        <v>3</v>
      </c>
      <c r="C107" s="20" t="s">
        <v>229</v>
      </c>
      <c r="D107" s="20" t="s">
        <v>230</v>
      </c>
      <c r="E107" s="20" t="s">
        <v>221</v>
      </c>
      <c r="F107" s="20" t="s">
        <v>222</v>
      </c>
      <c r="G107" s="22">
        <v>3</v>
      </c>
      <c r="H107" s="23">
        <v>11</v>
      </c>
      <c r="I107" s="23">
        <v>12</v>
      </c>
      <c r="J107" s="23" t="s">
        <v>458</v>
      </c>
      <c r="K107" s="12"/>
      <c r="L107" s="12"/>
      <c r="M107" s="2"/>
      <c r="N107" s="2"/>
    </row>
    <row r="108" spans="1:14">
      <c r="A108" s="24"/>
      <c r="B108" s="109" t="s">
        <v>3</v>
      </c>
      <c r="C108" s="20" t="s">
        <v>225</v>
      </c>
      <c r="D108" s="20" t="s">
        <v>226</v>
      </c>
      <c r="E108" s="20" t="s">
        <v>221</v>
      </c>
      <c r="F108" s="20" t="s">
        <v>222</v>
      </c>
      <c r="G108" s="22">
        <v>4</v>
      </c>
      <c r="H108" s="25"/>
      <c r="I108" s="25"/>
      <c r="J108" s="25"/>
      <c r="K108" s="12"/>
      <c r="L108" s="12"/>
      <c r="M108" s="2"/>
      <c r="N108" s="2"/>
    </row>
    <row r="109" spans="1:14">
      <c r="A109" s="24"/>
      <c r="B109" s="109" t="s">
        <v>3</v>
      </c>
      <c r="C109" s="20" t="s">
        <v>223</v>
      </c>
      <c r="D109" s="20" t="s">
        <v>224</v>
      </c>
      <c r="E109" s="20" t="s">
        <v>221</v>
      </c>
      <c r="F109" s="20" t="s">
        <v>222</v>
      </c>
      <c r="G109" s="22">
        <v>9</v>
      </c>
      <c r="H109" s="25"/>
      <c r="I109" s="25"/>
      <c r="J109" s="25"/>
      <c r="K109" s="12"/>
      <c r="L109" s="12"/>
      <c r="M109" s="2"/>
      <c r="N109" s="2"/>
    </row>
    <row r="110" spans="1:14">
      <c r="A110" s="26"/>
      <c r="B110" s="109" t="s">
        <v>3</v>
      </c>
      <c r="C110" s="20" t="s">
        <v>219</v>
      </c>
      <c r="D110" s="20" t="s">
        <v>220</v>
      </c>
      <c r="E110" s="20" t="s">
        <v>221</v>
      </c>
      <c r="F110" s="20" t="s">
        <v>222</v>
      </c>
      <c r="G110" s="22">
        <v>2</v>
      </c>
      <c r="H110" s="27"/>
      <c r="I110" s="27"/>
      <c r="J110" s="27"/>
      <c r="K110" s="12"/>
      <c r="L110" s="12"/>
      <c r="M110" s="2"/>
      <c r="N110" s="2"/>
    </row>
    <row r="111" spans="1:14">
      <c r="A111" s="21" t="s">
        <v>491</v>
      </c>
      <c r="B111" s="109" t="s">
        <v>3</v>
      </c>
      <c r="C111" s="20" t="s">
        <v>223</v>
      </c>
      <c r="D111" s="20" t="s">
        <v>224</v>
      </c>
      <c r="E111" s="20" t="s">
        <v>221</v>
      </c>
      <c r="F111" s="20" t="s">
        <v>222</v>
      </c>
      <c r="G111" s="22">
        <v>4</v>
      </c>
      <c r="H111" s="23">
        <v>11</v>
      </c>
      <c r="I111" s="23">
        <v>12</v>
      </c>
      <c r="J111" s="23" t="s">
        <v>458</v>
      </c>
      <c r="K111" s="12"/>
      <c r="L111" s="12"/>
      <c r="M111" s="2"/>
      <c r="N111" s="2"/>
    </row>
    <row r="112" spans="1:14">
      <c r="A112" s="24"/>
      <c r="B112" s="109" t="s">
        <v>3</v>
      </c>
      <c r="C112" s="20" t="s">
        <v>227</v>
      </c>
      <c r="D112" s="20" t="s">
        <v>228</v>
      </c>
      <c r="E112" s="20" t="s">
        <v>221</v>
      </c>
      <c r="F112" s="20" t="s">
        <v>222</v>
      </c>
      <c r="G112" s="22">
        <v>6</v>
      </c>
      <c r="H112" s="25"/>
      <c r="I112" s="25"/>
      <c r="J112" s="25"/>
      <c r="K112" s="12"/>
      <c r="L112" s="12"/>
      <c r="M112" s="2"/>
      <c r="N112" s="2"/>
    </row>
    <row r="113" spans="1:14">
      <c r="A113" s="24"/>
      <c r="B113" s="109" t="s">
        <v>3</v>
      </c>
      <c r="C113" s="20" t="s">
        <v>250</v>
      </c>
      <c r="D113" s="20" t="s">
        <v>251</v>
      </c>
      <c r="E113" s="20" t="s">
        <v>221</v>
      </c>
      <c r="F113" s="20" t="s">
        <v>249</v>
      </c>
      <c r="G113" s="22">
        <v>1</v>
      </c>
      <c r="H113" s="25"/>
      <c r="I113" s="25"/>
      <c r="J113" s="25"/>
      <c r="K113" s="12"/>
      <c r="L113" s="12"/>
      <c r="M113" s="2"/>
      <c r="N113" s="2"/>
    </row>
    <row r="114" spans="1:14">
      <c r="A114" s="24"/>
      <c r="B114" s="109" t="s">
        <v>3</v>
      </c>
      <c r="C114" s="20" t="s">
        <v>247</v>
      </c>
      <c r="D114" s="20" t="s">
        <v>248</v>
      </c>
      <c r="E114" s="20" t="s">
        <v>221</v>
      </c>
      <c r="F114" s="20" t="s">
        <v>249</v>
      </c>
      <c r="G114" s="22">
        <v>1</v>
      </c>
      <c r="H114" s="25"/>
      <c r="I114" s="25"/>
      <c r="J114" s="25"/>
      <c r="K114" s="12"/>
      <c r="L114" s="12"/>
      <c r="M114" s="2"/>
      <c r="N114" s="2"/>
    </row>
    <row r="115" spans="1:14">
      <c r="A115" s="24"/>
      <c r="B115" s="109" t="s">
        <v>3</v>
      </c>
      <c r="C115" s="20" t="s">
        <v>252</v>
      </c>
      <c r="D115" s="20" t="s">
        <v>253</v>
      </c>
      <c r="E115" s="20" t="s">
        <v>221</v>
      </c>
      <c r="F115" s="20" t="s">
        <v>249</v>
      </c>
      <c r="G115" s="22">
        <v>1</v>
      </c>
      <c r="H115" s="25"/>
      <c r="I115" s="25"/>
      <c r="J115" s="25"/>
      <c r="K115" s="12"/>
      <c r="L115" s="12"/>
      <c r="M115" s="2"/>
      <c r="N115" s="2"/>
    </row>
    <row r="116" spans="1:14">
      <c r="A116" s="24"/>
      <c r="B116" s="109" t="s">
        <v>3</v>
      </c>
      <c r="C116" s="20" t="s">
        <v>245</v>
      </c>
      <c r="D116" s="20" t="s">
        <v>246</v>
      </c>
      <c r="E116" s="20" t="s">
        <v>221</v>
      </c>
      <c r="F116" s="20" t="s">
        <v>180</v>
      </c>
      <c r="G116" s="22">
        <v>1</v>
      </c>
      <c r="H116" s="25"/>
      <c r="I116" s="25"/>
      <c r="J116" s="25"/>
      <c r="K116" s="12"/>
      <c r="L116" s="12"/>
      <c r="M116" s="2"/>
      <c r="N116" s="2"/>
    </row>
    <row r="117" spans="1:14">
      <c r="A117" s="24"/>
      <c r="B117" s="109" t="s">
        <v>3</v>
      </c>
      <c r="C117" s="20" t="s">
        <v>243</v>
      </c>
      <c r="D117" s="20" t="s">
        <v>244</v>
      </c>
      <c r="E117" s="20" t="s">
        <v>221</v>
      </c>
      <c r="F117" s="20" t="s">
        <v>180</v>
      </c>
      <c r="G117" s="22">
        <v>1</v>
      </c>
      <c r="H117" s="25"/>
      <c r="I117" s="25"/>
      <c r="J117" s="25"/>
      <c r="K117" s="12"/>
      <c r="L117" s="12"/>
      <c r="M117" s="2"/>
      <c r="N117" s="2"/>
    </row>
    <row r="118" spans="1:14">
      <c r="A118" s="26"/>
      <c r="B118" s="109" t="s">
        <v>3</v>
      </c>
      <c r="C118" s="20" t="s">
        <v>241</v>
      </c>
      <c r="D118" s="20" t="s">
        <v>242</v>
      </c>
      <c r="E118" s="20" t="s">
        <v>221</v>
      </c>
      <c r="F118" s="20" t="s">
        <v>180</v>
      </c>
      <c r="G118" s="22">
        <v>1</v>
      </c>
      <c r="H118" s="27"/>
      <c r="I118" s="27"/>
      <c r="J118" s="27"/>
      <c r="K118" s="12"/>
      <c r="L118" s="12"/>
      <c r="M118" s="2"/>
      <c r="N118" s="2"/>
    </row>
    <row r="119" spans="1:14">
      <c r="A119" s="21" t="s">
        <v>492</v>
      </c>
      <c r="B119" s="109" t="s">
        <v>3</v>
      </c>
      <c r="C119" s="20" t="s">
        <v>270</v>
      </c>
      <c r="D119" s="20" t="s">
        <v>271</v>
      </c>
      <c r="E119" s="20" t="s">
        <v>256</v>
      </c>
      <c r="F119" s="20" t="s">
        <v>132</v>
      </c>
      <c r="G119" s="22">
        <v>4</v>
      </c>
      <c r="H119" s="23">
        <v>11</v>
      </c>
      <c r="I119" s="23">
        <v>12</v>
      </c>
      <c r="J119" s="23" t="s">
        <v>458</v>
      </c>
      <c r="K119" s="12"/>
      <c r="L119" s="12"/>
      <c r="M119" s="2"/>
      <c r="N119" s="2"/>
    </row>
    <row r="120" spans="1:14">
      <c r="A120" s="24"/>
      <c r="B120" s="109" t="s">
        <v>3</v>
      </c>
      <c r="C120" s="20" t="s">
        <v>268</v>
      </c>
      <c r="D120" s="20" t="s">
        <v>269</v>
      </c>
      <c r="E120" s="20" t="s">
        <v>256</v>
      </c>
      <c r="F120" s="20" t="s">
        <v>132</v>
      </c>
      <c r="G120" s="22">
        <v>4</v>
      </c>
      <c r="H120" s="25"/>
      <c r="I120" s="25"/>
      <c r="J120" s="25"/>
      <c r="K120" s="12"/>
      <c r="L120" s="12"/>
      <c r="M120" s="2"/>
      <c r="N120" s="2"/>
    </row>
    <row r="121" spans="1:14">
      <c r="A121" s="24"/>
      <c r="B121" s="109" t="s">
        <v>3</v>
      </c>
      <c r="C121" s="20" t="s">
        <v>266</v>
      </c>
      <c r="D121" s="20" t="s">
        <v>267</v>
      </c>
      <c r="E121" s="20" t="s">
        <v>256</v>
      </c>
      <c r="F121" s="20" t="s">
        <v>132</v>
      </c>
      <c r="G121" s="22">
        <v>4</v>
      </c>
      <c r="H121" s="25"/>
      <c r="I121" s="25"/>
      <c r="J121" s="25"/>
      <c r="K121" s="12"/>
      <c r="L121" s="12"/>
      <c r="M121" s="2"/>
      <c r="N121" s="2"/>
    </row>
    <row r="122" spans="1:14">
      <c r="A122" s="24"/>
      <c r="B122" s="109" t="s">
        <v>3</v>
      </c>
      <c r="C122" s="20" t="s">
        <v>272</v>
      </c>
      <c r="D122" s="20" t="s">
        <v>273</v>
      </c>
      <c r="E122" s="20" t="s">
        <v>256</v>
      </c>
      <c r="F122" s="20" t="s">
        <v>132</v>
      </c>
      <c r="G122" s="22">
        <v>2</v>
      </c>
      <c r="H122" s="25"/>
      <c r="I122" s="25"/>
      <c r="J122" s="25"/>
      <c r="K122" s="12"/>
      <c r="L122" s="12"/>
      <c r="M122" s="2"/>
      <c r="N122" s="2"/>
    </row>
    <row r="123" spans="1:14">
      <c r="A123" s="24"/>
      <c r="B123" s="109" t="s">
        <v>3</v>
      </c>
      <c r="C123" s="20" t="s">
        <v>264</v>
      </c>
      <c r="D123" s="20" t="s">
        <v>265</v>
      </c>
      <c r="E123" s="20" t="s">
        <v>256</v>
      </c>
      <c r="F123" s="20" t="s">
        <v>122</v>
      </c>
      <c r="G123" s="22">
        <v>1</v>
      </c>
      <c r="H123" s="25"/>
      <c r="I123" s="25"/>
      <c r="J123" s="25"/>
      <c r="K123" s="12"/>
      <c r="L123" s="12"/>
      <c r="M123" s="2"/>
      <c r="N123" s="2"/>
    </row>
    <row r="124" spans="1:14">
      <c r="A124" s="24"/>
      <c r="B124" s="109" t="s">
        <v>3</v>
      </c>
      <c r="C124" s="20" t="s">
        <v>260</v>
      </c>
      <c r="D124" s="20" t="s">
        <v>261</v>
      </c>
      <c r="E124" s="20" t="s">
        <v>256</v>
      </c>
      <c r="F124" s="20" t="s">
        <v>122</v>
      </c>
      <c r="G124" s="22">
        <v>1</v>
      </c>
      <c r="H124" s="25"/>
      <c r="I124" s="25"/>
      <c r="J124" s="25"/>
      <c r="K124" s="12"/>
      <c r="L124" s="12"/>
      <c r="M124" s="2"/>
      <c r="N124" s="2"/>
    </row>
    <row r="125" spans="1:14">
      <c r="A125" s="24"/>
      <c r="B125" s="109" t="s">
        <v>3</v>
      </c>
      <c r="C125" s="20" t="s">
        <v>258</v>
      </c>
      <c r="D125" s="20" t="s">
        <v>259</v>
      </c>
      <c r="E125" s="20" t="s">
        <v>256</v>
      </c>
      <c r="F125" s="20" t="s">
        <v>122</v>
      </c>
      <c r="G125" s="22">
        <v>1</v>
      </c>
      <c r="H125" s="25"/>
      <c r="I125" s="25"/>
      <c r="J125" s="25"/>
      <c r="K125" s="12"/>
      <c r="L125" s="12"/>
      <c r="M125" s="2"/>
      <c r="N125" s="2"/>
    </row>
    <row r="126" spans="1:14">
      <c r="A126" s="24"/>
      <c r="B126" s="109" t="s">
        <v>3</v>
      </c>
      <c r="C126" s="20" t="s">
        <v>254</v>
      </c>
      <c r="D126" s="20" t="s">
        <v>255</v>
      </c>
      <c r="E126" s="20" t="s">
        <v>256</v>
      </c>
      <c r="F126" s="20" t="s">
        <v>122</v>
      </c>
      <c r="G126" s="22">
        <v>1</v>
      </c>
      <c r="H126" s="25"/>
      <c r="I126" s="25"/>
      <c r="J126" s="25"/>
      <c r="K126" s="12"/>
      <c r="L126" s="12"/>
      <c r="M126" s="2"/>
      <c r="N126" s="2"/>
    </row>
    <row r="127" spans="1:14">
      <c r="A127" s="26"/>
      <c r="B127" s="109" t="s">
        <v>3</v>
      </c>
      <c r="C127" s="20" t="s">
        <v>262</v>
      </c>
      <c r="D127" s="20" t="s">
        <v>263</v>
      </c>
      <c r="E127" s="20" t="s">
        <v>256</v>
      </c>
      <c r="F127" s="20" t="s">
        <v>122</v>
      </c>
      <c r="G127" s="22">
        <v>1</v>
      </c>
      <c r="H127" s="27"/>
      <c r="I127" s="27"/>
      <c r="J127" s="27"/>
      <c r="K127" s="12"/>
      <c r="L127" s="12"/>
      <c r="M127" s="2"/>
      <c r="N127" s="2"/>
    </row>
    <row r="128" spans="1:14">
      <c r="A128" s="21" t="s">
        <v>493</v>
      </c>
      <c r="B128" s="109" t="s">
        <v>3</v>
      </c>
      <c r="C128" s="20" t="s">
        <v>333</v>
      </c>
      <c r="D128" s="20" t="s">
        <v>334</v>
      </c>
      <c r="E128" s="20" t="s">
        <v>319</v>
      </c>
      <c r="F128" s="20" t="s">
        <v>330</v>
      </c>
      <c r="G128" s="22">
        <v>3</v>
      </c>
      <c r="H128" s="23">
        <v>11</v>
      </c>
      <c r="I128" s="23">
        <v>12</v>
      </c>
      <c r="J128" s="23" t="s">
        <v>458</v>
      </c>
      <c r="K128" s="12"/>
      <c r="L128" s="12"/>
      <c r="M128" s="2"/>
      <c r="N128" s="2"/>
    </row>
    <row r="129" spans="1:14">
      <c r="A129" s="24"/>
      <c r="B129" s="109" t="s">
        <v>3</v>
      </c>
      <c r="C129" s="20" t="s">
        <v>331</v>
      </c>
      <c r="D129" s="20" t="s">
        <v>332</v>
      </c>
      <c r="E129" s="20" t="s">
        <v>319</v>
      </c>
      <c r="F129" s="20" t="s">
        <v>330</v>
      </c>
      <c r="G129" s="22">
        <v>4</v>
      </c>
      <c r="H129" s="25"/>
      <c r="I129" s="25"/>
      <c r="J129" s="25"/>
      <c r="K129" s="12"/>
      <c r="L129" s="12"/>
      <c r="M129" s="2"/>
      <c r="N129" s="2"/>
    </row>
    <row r="130" spans="1:14">
      <c r="A130" s="24"/>
      <c r="B130" s="109" t="s">
        <v>3</v>
      </c>
      <c r="C130" s="20" t="s">
        <v>328</v>
      </c>
      <c r="D130" s="20" t="s">
        <v>329</v>
      </c>
      <c r="E130" s="20" t="s">
        <v>319</v>
      </c>
      <c r="F130" s="20" t="s">
        <v>330</v>
      </c>
      <c r="G130" s="22">
        <v>3</v>
      </c>
      <c r="H130" s="25"/>
      <c r="I130" s="25"/>
      <c r="J130" s="25"/>
      <c r="K130" s="12"/>
      <c r="L130" s="12"/>
      <c r="M130" s="2"/>
      <c r="N130" s="2"/>
    </row>
    <row r="131" spans="1:14">
      <c r="A131" s="24"/>
      <c r="B131" s="109" t="s">
        <v>3</v>
      </c>
      <c r="C131" s="20" t="s">
        <v>335</v>
      </c>
      <c r="D131" s="20" t="s">
        <v>336</v>
      </c>
      <c r="E131" s="20" t="s">
        <v>319</v>
      </c>
      <c r="F131" s="20" t="s">
        <v>330</v>
      </c>
      <c r="G131" s="22">
        <v>1</v>
      </c>
      <c r="H131" s="25"/>
      <c r="I131" s="25"/>
      <c r="J131" s="25"/>
      <c r="K131" s="12"/>
      <c r="L131" s="12"/>
      <c r="M131" s="2"/>
      <c r="N131" s="2"/>
    </row>
    <row r="132" spans="1:14">
      <c r="A132" s="26"/>
      <c r="B132" s="109" t="s">
        <v>3</v>
      </c>
      <c r="C132" s="20" t="s">
        <v>320</v>
      </c>
      <c r="D132" s="20" t="s">
        <v>321</v>
      </c>
      <c r="E132" s="20" t="s">
        <v>319</v>
      </c>
      <c r="F132" s="20" t="s">
        <v>50</v>
      </c>
      <c r="G132" s="22">
        <v>8</v>
      </c>
      <c r="H132" s="27"/>
      <c r="I132" s="27"/>
      <c r="J132" s="27"/>
      <c r="K132" s="12"/>
      <c r="L132" s="12"/>
      <c r="M132" s="2"/>
      <c r="N132" s="2"/>
    </row>
    <row r="133" spans="1:14">
      <c r="A133" s="21" t="s">
        <v>494</v>
      </c>
      <c r="B133" s="109" t="s">
        <v>3</v>
      </c>
      <c r="C133" s="20" t="s">
        <v>326</v>
      </c>
      <c r="D133" s="20" t="s">
        <v>327</v>
      </c>
      <c r="E133" s="20" t="s">
        <v>319</v>
      </c>
      <c r="F133" s="20" t="s">
        <v>50</v>
      </c>
      <c r="G133" s="22">
        <v>6</v>
      </c>
      <c r="H133" s="23">
        <v>11</v>
      </c>
      <c r="I133" s="23">
        <v>12</v>
      </c>
      <c r="J133" s="23" t="s">
        <v>458</v>
      </c>
      <c r="K133" s="12"/>
      <c r="L133" s="12"/>
      <c r="M133" s="2"/>
      <c r="N133" s="2"/>
    </row>
    <row r="134" spans="1:14">
      <c r="A134" s="24"/>
      <c r="B134" s="109" t="s">
        <v>3</v>
      </c>
      <c r="C134" s="20" t="s">
        <v>322</v>
      </c>
      <c r="D134" s="20" t="s">
        <v>323</v>
      </c>
      <c r="E134" s="20" t="s">
        <v>319</v>
      </c>
      <c r="F134" s="20" t="s">
        <v>50</v>
      </c>
      <c r="G134" s="22">
        <v>6</v>
      </c>
      <c r="H134" s="25"/>
      <c r="I134" s="25"/>
      <c r="J134" s="25"/>
      <c r="K134" s="12"/>
      <c r="L134" s="12"/>
      <c r="M134" s="2"/>
      <c r="N134" s="2"/>
    </row>
    <row r="135" spans="1:14">
      <c r="A135" s="26"/>
      <c r="B135" s="109" t="s">
        <v>3</v>
      </c>
      <c r="C135" s="20" t="s">
        <v>324</v>
      </c>
      <c r="D135" s="20" t="s">
        <v>325</v>
      </c>
      <c r="E135" s="20" t="s">
        <v>319</v>
      </c>
      <c r="F135" s="20" t="s">
        <v>50</v>
      </c>
      <c r="G135" s="22">
        <v>6</v>
      </c>
      <c r="H135" s="27"/>
      <c r="I135" s="27"/>
      <c r="J135" s="27"/>
      <c r="K135" s="12"/>
      <c r="L135" s="12"/>
      <c r="M135" s="2"/>
      <c r="N135" s="2"/>
    </row>
    <row r="136" spans="1:14">
      <c r="A136" s="21" t="s">
        <v>495</v>
      </c>
      <c r="B136" s="109" t="s">
        <v>3</v>
      </c>
      <c r="C136" s="20" t="s">
        <v>317</v>
      </c>
      <c r="D136" s="20" t="s">
        <v>318</v>
      </c>
      <c r="E136" s="20" t="s">
        <v>319</v>
      </c>
      <c r="F136" s="20" t="s">
        <v>50</v>
      </c>
      <c r="G136" s="22">
        <v>8</v>
      </c>
      <c r="H136" s="23">
        <v>11</v>
      </c>
      <c r="I136" s="23">
        <v>12</v>
      </c>
      <c r="J136" s="23" t="s">
        <v>458</v>
      </c>
      <c r="K136" s="12"/>
      <c r="L136" s="12"/>
      <c r="M136" s="2"/>
      <c r="N136" s="2"/>
    </row>
    <row r="137" spans="1:14">
      <c r="A137" s="24"/>
      <c r="B137" s="109" t="s">
        <v>3</v>
      </c>
      <c r="C137" s="20" t="s">
        <v>340</v>
      </c>
      <c r="D137" s="20" t="s">
        <v>341</v>
      </c>
      <c r="E137" s="20" t="s">
        <v>339</v>
      </c>
      <c r="F137" s="20" t="s">
        <v>132</v>
      </c>
      <c r="G137" s="22">
        <v>10</v>
      </c>
      <c r="H137" s="25"/>
      <c r="I137" s="25"/>
      <c r="J137" s="25"/>
      <c r="K137" s="12"/>
      <c r="L137" s="12"/>
      <c r="M137" s="2"/>
      <c r="N137" s="2"/>
    </row>
    <row r="138" spans="1:14">
      <c r="A138" s="26"/>
      <c r="B138" s="109" t="s">
        <v>3</v>
      </c>
      <c r="C138" s="20" t="s">
        <v>337</v>
      </c>
      <c r="D138" s="20" t="s">
        <v>338</v>
      </c>
      <c r="E138" s="20" t="s">
        <v>339</v>
      </c>
      <c r="F138" s="20" t="s">
        <v>132</v>
      </c>
      <c r="G138" s="22">
        <v>6</v>
      </c>
      <c r="H138" s="27"/>
      <c r="I138" s="27"/>
      <c r="J138" s="27"/>
      <c r="K138" s="12"/>
      <c r="L138" s="12"/>
      <c r="M138" s="2"/>
      <c r="N138" s="2"/>
    </row>
    <row r="139" spans="1:14">
      <c r="A139" s="21" t="s">
        <v>496</v>
      </c>
      <c r="B139" s="109" t="s">
        <v>3</v>
      </c>
      <c r="C139" s="20" t="s">
        <v>346</v>
      </c>
      <c r="D139" s="20" t="s">
        <v>347</v>
      </c>
      <c r="E139" s="20" t="s">
        <v>339</v>
      </c>
      <c r="F139" s="20" t="s">
        <v>132</v>
      </c>
      <c r="G139" s="22">
        <v>3</v>
      </c>
      <c r="H139" s="23">
        <v>11</v>
      </c>
      <c r="I139" s="23">
        <v>12</v>
      </c>
      <c r="J139" s="23" t="s">
        <v>458</v>
      </c>
      <c r="K139" s="12"/>
      <c r="L139" s="12"/>
      <c r="M139" s="2"/>
      <c r="N139" s="2"/>
    </row>
    <row r="140" spans="1:14">
      <c r="A140" s="24"/>
      <c r="B140" s="109" t="s">
        <v>3</v>
      </c>
      <c r="C140" s="20" t="s">
        <v>342</v>
      </c>
      <c r="D140" s="20" t="s">
        <v>343</v>
      </c>
      <c r="E140" s="20" t="s">
        <v>339</v>
      </c>
      <c r="F140" s="20" t="s">
        <v>132</v>
      </c>
      <c r="G140" s="22">
        <v>7</v>
      </c>
      <c r="H140" s="25"/>
      <c r="I140" s="25"/>
      <c r="J140" s="25"/>
      <c r="K140" s="12"/>
      <c r="L140" s="12"/>
      <c r="M140" s="2"/>
      <c r="N140" s="2"/>
    </row>
    <row r="141" spans="1:14">
      <c r="A141" s="24"/>
      <c r="B141" s="109" t="s">
        <v>3</v>
      </c>
      <c r="C141" s="20" t="s">
        <v>344</v>
      </c>
      <c r="D141" s="20" t="s">
        <v>345</v>
      </c>
      <c r="E141" s="20" t="s">
        <v>339</v>
      </c>
      <c r="F141" s="20" t="s">
        <v>132</v>
      </c>
      <c r="G141" s="22">
        <v>2</v>
      </c>
      <c r="H141" s="25"/>
      <c r="I141" s="25"/>
      <c r="J141" s="25"/>
      <c r="K141" s="12"/>
      <c r="L141" s="12"/>
      <c r="M141" s="2"/>
      <c r="N141" s="2"/>
    </row>
    <row r="142" spans="1:14">
      <c r="A142" s="24"/>
      <c r="B142" s="109" t="s">
        <v>3</v>
      </c>
      <c r="C142" s="20" t="s">
        <v>367</v>
      </c>
      <c r="D142" s="20" t="s">
        <v>368</v>
      </c>
      <c r="E142" s="20" t="s">
        <v>350</v>
      </c>
      <c r="F142" s="20" t="s">
        <v>132</v>
      </c>
      <c r="G142" s="22">
        <v>1</v>
      </c>
      <c r="H142" s="25"/>
      <c r="I142" s="25"/>
      <c r="J142" s="25"/>
      <c r="K142" s="12"/>
      <c r="L142" s="12"/>
      <c r="M142" s="2"/>
      <c r="N142" s="2"/>
    </row>
    <row r="143" spans="1:14">
      <c r="A143" s="24"/>
      <c r="B143" s="109" t="s">
        <v>3</v>
      </c>
      <c r="C143" s="20" t="s">
        <v>363</v>
      </c>
      <c r="D143" s="20" t="s">
        <v>364</v>
      </c>
      <c r="E143" s="20" t="s">
        <v>350</v>
      </c>
      <c r="F143" s="20" t="s">
        <v>132</v>
      </c>
      <c r="G143" s="22">
        <v>2</v>
      </c>
      <c r="H143" s="25"/>
      <c r="I143" s="25"/>
      <c r="J143" s="25"/>
      <c r="K143" s="12"/>
      <c r="L143" s="12"/>
      <c r="M143" s="2"/>
      <c r="N143" s="2"/>
    </row>
    <row r="144" spans="1:14">
      <c r="A144" s="24"/>
      <c r="B144" s="109" t="s">
        <v>3</v>
      </c>
      <c r="C144" s="20" t="s">
        <v>361</v>
      </c>
      <c r="D144" s="20" t="s">
        <v>362</v>
      </c>
      <c r="E144" s="20" t="s">
        <v>350</v>
      </c>
      <c r="F144" s="20" t="s">
        <v>132</v>
      </c>
      <c r="G144" s="22">
        <v>2</v>
      </c>
      <c r="H144" s="25"/>
      <c r="I144" s="25"/>
      <c r="J144" s="25"/>
      <c r="K144" s="12"/>
      <c r="L144" s="12"/>
      <c r="M144" s="2"/>
      <c r="N144" s="2"/>
    </row>
    <row r="145" spans="1:14">
      <c r="A145" s="24"/>
      <c r="B145" s="109" t="s">
        <v>3</v>
      </c>
      <c r="C145" s="20" t="s">
        <v>359</v>
      </c>
      <c r="D145" s="20" t="s">
        <v>360</v>
      </c>
      <c r="E145" s="20" t="s">
        <v>350</v>
      </c>
      <c r="F145" s="20" t="s">
        <v>132</v>
      </c>
      <c r="G145" s="22">
        <v>2</v>
      </c>
      <c r="H145" s="25"/>
      <c r="I145" s="25"/>
      <c r="J145" s="25"/>
      <c r="K145" s="12"/>
      <c r="L145" s="12"/>
      <c r="M145" s="2"/>
      <c r="N145" s="2"/>
    </row>
    <row r="146" spans="1:14">
      <c r="A146" s="24"/>
      <c r="B146" s="109" t="s">
        <v>3</v>
      </c>
      <c r="C146" s="20" t="s">
        <v>365</v>
      </c>
      <c r="D146" s="20" t="s">
        <v>366</v>
      </c>
      <c r="E146" s="20" t="s">
        <v>350</v>
      </c>
      <c r="F146" s="20" t="s">
        <v>132</v>
      </c>
      <c r="G146" s="22">
        <v>2</v>
      </c>
      <c r="H146" s="25"/>
      <c r="I146" s="25"/>
      <c r="J146" s="25"/>
      <c r="K146" s="12"/>
      <c r="L146" s="12"/>
      <c r="M146" s="2"/>
      <c r="N146" s="2"/>
    </row>
    <row r="147" spans="1:14">
      <c r="A147" s="26"/>
      <c r="B147" s="109" t="s">
        <v>3</v>
      </c>
      <c r="C147" s="20" t="s">
        <v>378</v>
      </c>
      <c r="D147" s="20" t="s">
        <v>379</v>
      </c>
      <c r="E147" s="20" t="s">
        <v>350</v>
      </c>
      <c r="F147" s="20" t="s">
        <v>371</v>
      </c>
      <c r="G147" s="22">
        <v>3</v>
      </c>
      <c r="H147" s="27"/>
      <c r="I147" s="27"/>
      <c r="J147" s="27"/>
      <c r="K147" s="12"/>
      <c r="L147" s="12"/>
      <c r="M147" s="2"/>
      <c r="N147" s="2"/>
    </row>
    <row r="148" spans="1:14">
      <c r="A148" s="21" t="s">
        <v>497</v>
      </c>
      <c r="B148" s="109" t="s">
        <v>3</v>
      </c>
      <c r="C148" s="20" t="s">
        <v>374</v>
      </c>
      <c r="D148" s="20" t="s">
        <v>375</v>
      </c>
      <c r="E148" s="20" t="s">
        <v>350</v>
      </c>
      <c r="F148" s="20" t="s">
        <v>371</v>
      </c>
      <c r="G148" s="22">
        <v>3</v>
      </c>
      <c r="H148" s="23">
        <v>11</v>
      </c>
      <c r="I148" s="23">
        <v>12</v>
      </c>
      <c r="J148" s="23" t="s">
        <v>458</v>
      </c>
      <c r="K148" s="12"/>
      <c r="L148" s="12"/>
      <c r="M148" s="2"/>
      <c r="N148" s="2"/>
    </row>
    <row r="149" spans="1:14">
      <c r="A149" s="24"/>
      <c r="B149" s="109" t="s">
        <v>3</v>
      </c>
      <c r="C149" s="20" t="s">
        <v>372</v>
      </c>
      <c r="D149" s="20" t="s">
        <v>373</v>
      </c>
      <c r="E149" s="20" t="s">
        <v>350</v>
      </c>
      <c r="F149" s="20" t="s">
        <v>371</v>
      </c>
      <c r="G149" s="22">
        <v>3</v>
      </c>
      <c r="H149" s="25"/>
      <c r="I149" s="25"/>
      <c r="J149" s="25"/>
      <c r="K149" s="12"/>
      <c r="L149" s="12"/>
      <c r="M149" s="2"/>
      <c r="N149" s="2"/>
    </row>
    <row r="150" spans="1:14">
      <c r="A150" s="24"/>
      <c r="B150" s="109" t="s">
        <v>3</v>
      </c>
      <c r="C150" s="20" t="s">
        <v>369</v>
      </c>
      <c r="D150" s="20" t="s">
        <v>370</v>
      </c>
      <c r="E150" s="20" t="s">
        <v>350</v>
      </c>
      <c r="F150" s="20" t="s">
        <v>371</v>
      </c>
      <c r="G150" s="22">
        <v>2</v>
      </c>
      <c r="H150" s="25"/>
      <c r="I150" s="25"/>
      <c r="J150" s="25"/>
      <c r="K150" s="12"/>
      <c r="L150" s="12"/>
      <c r="M150" s="2"/>
      <c r="N150" s="2"/>
    </row>
    <row r="151" spans="1:14">
      <c r="A151" s="24"/>
      <c r="B151" s="109" t="s">
        <v>3</v>
      </c>
      <c r="C151" s="20" t="s">
        <v>376</v>
      </c>
      <c r="D151" s="20" t="s">
        <v>377</v>
      </c>
      <c r="E151" s="20" t="s">
        <v>350</v>
      </c>
      <c r="F151" s="20" t="s">
        <v>371</v>
      </c>
      <c r="G151" s="22">
        <v>2</v>
      </c>
      <c r="H151" s="25"/>
      <c r="I151" s="25"/>
      <c r="J151" s="25"/>
      <c r="K151" s="12"/>
      <c r="L151" s="12"/>
      <c r="M151" s="2"/>
      <c r="N151" s="2"/>
    </row>
    <row r="152" spans="1:14">
      <c r="A152" s="26"/>
      <c r="B152" s="109" t="s">
        <v>3</v>
      </c>
      <c r="C152" s="20" t="s">
        <v>353</v>
      </c>
      <c r="D152" s="20" t="s">
        <v>354</v>
      </c>
      <c r="E152" s="20" t="s">
        <v>350</v>
      </c>
      <c r="F152" s="20" t="s">
        <v>122</v>
      </c>
      <c r="G152" s="22">
        <v>11</v>
      </c>
      <c r="H152" s="27"/>
      <c r="I152" s="27"/>
      <c r="J152" s="27"/>
      <c r="K152" s="12"/>
      <c r="L152" s="12"/>
      <c r="M152" s="2"/>
      <c r="N152" s="2"/>
    </row>
    <row r="153" spans="1:14">
      <c r="A153" s="21" t="s">
        <v>498</v>
      </c>
      <c r="B153" s="109" t="s">
        <v>3</v>
      </c>
      <c r="C153" s="20" t="s">
        <v>357</v>
      </c>
      <c r="D153" s="20" t="s">
        <v>358</v>
      </c>
      <c r="E153" s="20" t="s">
        <v>350</v>
      </c>
      <c r="F153" s="20" t="s">
        <v>122</v>
      </c>
      <c r="G153" s="22">
        <v>7</v>
      </c>
      <c r="H153" s="23">
        <v>11</v>
      </c>
      <c r="I153" s="23">
        <v>12</v>
      </c>
      <c r="J153" s="23" t="s">
        <v>458</v>
      </c>
      <c r="K153" s="12"/>
      <c r="L153" s="12"/>
      <c r="M153" s="2"/>
      <c r="N153" s="2"/>
    </row>
    <row r="154" spans="1:14">
      <c r="A154" s="24"/>
      <c r="B154" s="109" t="s">
        <v>3</v>
      </c>
      <c r="C154" s="20" t="s">
        <v>353</v>
      </c>
      <c r="D154" s="20" t="s">
        <v>354</v>
      </c>
      <c r="E154" s="20" t="s">
        <v>350</v>
      </c>
      <c r="F154" s="20" t="s">
        <v>122</v>
      </c>
      <c r="G154" s="22">
        <v>2</v>
      </c>
      <c r="H154" s="25"/>
      <c r="I154" s="25"/>
      <c r="J154" s="25"/>
      <c r="K154" s="12"/>
      <c r="L154" s="12"/>
      <c r="M154" s="2"/>
      <c r="N154" s="2"/>
    </row>
    <row r="155" spans="1:14">
      <c r="A155" s="24"/>
      <c r="B155" s="109" t="s">
        <v>3</v>
      </c>
      <c r="C155" s="20" t="s">
        <v>351</v>
      </c>
      <c r="D155" s="20" t="s">
        <v>352</v>
      </c>
      <c r="E155" s="20" t="s">
        <v>350</v>
      </c>
      <c r="F155" s="20" t="s">
        <v>122</v>
      </c>
      <c r="G155" s="22">
        <v>13</v>
      </c>
      <c r="H155" s="25"/>
      <c r="I155" s="25"/>
      <c r="J155" s="25"/>
      <c r="K155" s="12"/>
      <c r="L155" s="12"/>
      <c r="M155" s="2"/>
      <c r="N155" s="2"/>
    </row>
    <row r="156" spans="1:14">
      <c r="A156" s="26"/>
      <c r="B156" s="109" t="s">
        <v>3</v>
      </c>
      <c r="C156" s="20" t="s">
        <v>355</v>
      </c>
      <c r="D156" s="20" t="s">
        <v>356</v>
      </c>
      <c r="E156" s="20" t="s">
        <v>350</v>
      </c>
      <c r="F156" s="20" t="s">
        <v>122</v>
      </c>
      <c r="G156" s="22">
        <v>2</v>
      </c>
      <c r="H156" s="27"/>
      <c r="I156" s="27"/>
      <c r="J156" s="27"/>
      <c r="K156" s="12"/>
      <c r="L156" s="12"/>
      <c r="M156" s="2"/>
      <c r="N156" s="2"/>
    </row>
    <row r="157" spans="1:14">
      <c r="A157" s="21" t="s">
        <v>499</v>
      </c>
      <c r="B157" s="109" t="s">
        <v>3</v>
      </c>
      <c r="C157" s="20" t="s">
        <v>348</v>
      </c>
      <c r="D157" s="20" t="s">
        <v>349</v>
      </c>
      <c r="E157" s="20" t="s">
        <v>350</v>
      </c>
      <c r="F157" s="20" t="s">
        <v>122</v>
      </c>
      <c r="G157" s="22">
        <v>13</v>
      </c>
      <c r="H157" s="23">
        <v>11</v>
      </c>
      <c r="I157" s="23">
        <v>12</v>
      </c>
      <c r="J157" s="23" t="s">
        <v>458</v>
      </c>
      <c r="K157" s="12"/>
      <c r="L157" s="12"/>
      <c r="M157" s="2"/>
      <c r="N157" s="2"/>
    </row>
    <row r="158" spans="1:14">
      <c r="A158" s="26"/>
      <c r="B158" s="109" t="s">
        <v>3</v>
      </c>
      <c r="C158" s="20" t="s">
        <v>355</v>
      </c>
      <c r="D158" s="20" t="s">
        <v>356</v>
      </c>
      <c r="E158" s="20" t="s">
        <v>350</v>
      </c>
      <c r="F158" s="20" t="s">
        <v>122</v>
      </c>
      <c r="G158" s="22">
        <v>5</v>
      </c>
      <c r="H158" s="27"/>
      <c r="I158" s="27"/>
      <c r="J158" s="27"/>
      <c r="K158" s="12"/>
      <c r="L158" s="12"/>
      <c r="M158" s="2"/>
      <c r="N158" s="2"/>
    </row>
    <row r="159" spans="1:14">
      <c r="A159" s="21" t="s">
        <v>500</v>
      </c>
      <c r="B159" s="109" t="s">
        <v>3</v>
      </c>
      <c r="C159" s="20" t="s">
        <v>390</v>
      </c>
      <c r="D159" s="20" t="s">
        <v>391</v>
      </c>
      <c r="E159" s="20" t="s">
        <v>382</v>
      </c>
      <c r="F159" s="20" t="s">
        <v>383</v>
      </c>
      <c r="G159" s="22">
        <v>2</v>
      </c>
      <c r="H159" s="23">
        <v>11</v>
      </c>
      <c r="I159" s="23">
        <v>12</v>
      </c>
      <c r="J159" s="23" t="s">
        <v>458</v>
      </c>
      <c r="K159" s="12"/>
      <c r="L159" s="12"/>
      <c r="M159" s="2"/>
      <c r="N159" s="2"/>
    </row>
    <row r="160" spans="1:14">
      <c r="A160" s="24"/>
      <c r="B160" s="109" t="s">
        <v>3</v>
      </c>
      <c r="C160" s="20" t="s">
        <v>386</v>
      </c>
      <c r="D160" s="20" t="s">
        <v>387</v>
      </c>
      <c r="E160" s="20" t="s">
        <v>382</v>
      </c>
      <c r="F160" s="20" t="s">
        <v>383</v>
      </c>
      <c r="G160" s="22">
        <v>2</v>
      </c>
      <c r="H160" s="25"/>
      <c r="I160" s="25"/>
      <c r="J160" s="25"/>
      <c r="K160" s="12"/>
      <c r="L160" s="12"/>
      <c r="M160" s="2"/>
      <c r="N160" s="2"/>
    </row>
    <row r="161" spans="1:14">
      <c r="A161" s="24"/>
      <c r="B161" s="109" t="s">
        <v>3</v>
      </c>
      <c r="C161" s="20" t="s">
        <v>384</v>
      </c>
      <c r="D161" s="20" t="s">
        <v>385</v>
      </c>
      <c r="E161" s="20" t="s">
        <v>382</v>
      </c>
      <c r="F161" s="20" t="s">
        <v>383</v>
      </c>
      <c r="G161" s="22">
        <v>2</v>
      </c>
      <c r="H161" s="25"/>
      <c r="I161" s="25"/>
      <c r="J161" s="25"/>
      <c r="K161" s="12"/>
      <c r="L161" s="12"/>
      <c r="M161" s="2"/>
      <c r="N161" s="2"/>
    </row>
    <row r="162" spans="1:14">
      <c r="A162" s="24"/>
      <c r="B162" s="109" t="s">
        <v>3</v>
      </c>
      <c r="C162" s="20" t="s">
        <v>380</v>
      </c>
      <c r="D162" s="20" t="s">
        <v>381</v>
      </c>
      <c r="E162" s="20" t="s">
        <v>382</v>
      </c>
      <c r="F162" s="20" t="s">
        <v>383</v>
      </c>
      <c r="G162" s="22">
        <v>2</v>
      </c>
      <c r="H162" s="25"/>
      <c r="I162" s="25"/>
      <c r="J162" s="25"/>
      <c r="K162" s="12"/>
      <c r="L162" s="12"/>
      <c r="M162" s="2"/>
      <c r="N162" s="2"/>
    </row>
    <row r="163" spans="1:14">
      <c r="A163" s="24"/>
      <c r="B163" s="109" t="s">
        <v>3</v>
      </c>
      <c r="C163" s="20" t="s">
        <v>388</v>
      </c>
      <c r="D163" s="20" t="s">
        <v>389</v>
      </c>
      <c r="E163" s="20" t="s">
        <v>382</v>
      </c>
      <c r="F163" s="20" t="s">
        <v>383</v>
      </c>
      <c r="G163" s="22">
        <v>2</v>
      </c>
      <c r="H163" s="25"/>
      <c r="I163" s="25"/>
      <c r="J163" s="25"/>
      <c r="K163" s="12"/>
      <c r="L163" s="12"/>
      <c r="M163" s="2"/>
      <c r="N163" s="2"/>
    </row>
    <row r="164" spans="1:14">
      <c r="A164" s="24"/>
      <c r="B164" s="109" t="s">
        <v>3</v>
      </c>
      <c r="C164" s="20" t="s">
        <v>401</v>
      </c>
      <c r="D164" s="20" t="s">
        <v>402</v>
      </c>
      <c r="E164" s="20" t="s">
        <v>382</v>
      </c>
      <c r="F164" s="20" t="s">
        <v>394</v>
      </c>
      <c r="G164" s="22">
        <v>4</v>
      </c>
      <c r="H164" s="25"/>
      <c r="I164" s="25"/>
      <c r="J164" s="25"/>
      <c r="K164" s="12"/>
      <c r="L164" s="12"/>
      <c r="M164" s="2"/>
      <c r="N164" s="2"/>
    </row>
    <row r="165" spans="1:14">
      <c r="A165" s="24"/>
      <c r="B165" s="109" t="s">
        <v>3</v>
      </c>
      <c r="C165" s="20" t="s">
        <v>397</v>
      </c>
      <c r="D165" s="20" t="s">
        <v>398</v>
      </c>
      <c r="E165" s="20" t="s">
        <v>382</v>
      </c>
      <c r="F165" s="20" t="s">
        <v>394</v>
      </c>
      <c r="G165" s="22">
        <v>6</v>
      </c>
      <c r="H165" s="25"/>
      <c r="I165" s="25"/>
      <c r="J165" s="25"/>
      <c r="K165" s="12"/>
      <c r="L165" s="12"/>
      <c r="M165" s="2"/>
      <c r="N165" s="2"/>
    </row>
    <row r="166" spans="1:14">
      <c r="A166" s="26"/>
      <c r="B166" s="109" t="s">
        <v>3</v>
      </c>
      <c r="C166" s="20" t="s">
        <v>395</v>
      </c>
      <c r="D166" s="20" t="s">
        <v>396</v>
      </c>
      <c r="E166" s="20" t="s">
        <v>382</v>
      </c>
      <c r="F166" s="20" t="s">
        <v>394</v>
      </c>
      <c r="G166" s="22">
        <v>10</v>
      </c>
      <c r="H166" s="27"/>
      <c r="I166" s="27"/>
      <c r="J166" s="27"/>
      <c r="K166" s="12"/>
      <c r="L166" s="12"/>
      <c r="M166" s="2"/>
      <c r="N166" s="2"/>
    </row>
    <row r="167" spans="1:14">
      <c r="A167" s="21" t="s">
        <v>501</v>
      </c>
      <c r="B167" s="109" t="s">
        <v>3</v>
      </c>
      <c r="C167" s="20" t="s">
        <v>392</v>
      </c>
      <c r="D167" s="20" t="s">
        <v>393</v>
      </c>
      <c r="E167" s="20" t="s">
        <v>382</v>
      </c>
      <c r="F167" s="20" t="s">
        <v>394</v>
      </c>
      <c r="G167" s="22">
        <v>10</v>
      </c>
      <c r="H167" s="23">
        <v>11</v>
      </c>
      <c r="I167" s="23">
        <v>12</v>
      </c>
      <c r="J167" s="23" t="s">
        <v>458</v>
      </c>
      <c r="K167" s="12"/>
      <c r="L167" s="12"/>
      <c r="M167" s="2"/>
      <c r="N167" s="2"/>
    </row>
    <row r="168" spans="1:14">
      <c r="A168" s="24"/>
      <c r="B168" s="109" t="s">
        <v>3</v>
      </c>
      <c r="C168" s="20" t="s">
        <v>399</v>
      </c>
      <c r="D168" s="20" t="s">
        <v>400</v>
      </c>
      <c r="E168" s="20" t="s">
        <v>382</v>
      </c>
      <c r="F168" s="20" t="s">
        <v>394</v>
      </c>
      <c r="G168" s="22">
        <v>2</v>
      </c>
      <c r="H168" s="25"/>
      <c r="I168" s="25"/>
      <c r="J168" s="25"/>
      <c r="K168" s="12"/>
      <c r="L168" s="12"/>
      <c r="M168" s="2"/>
      <c r="N168" s="2"/>
    </row>
    <row r="169" spans="1:14">
      <c r="A169" s="24"/>
      <c r="B169" s="109" t="s">
        <v>3</v>
      </c>
      <c r="C169" s="20" t="s">
        <v>423</v>
      </c>
      <c r="D169" s="20" t="s">
        <v>424</v>
      </c>
      <c r="E169" s="20" t="s">
        <v>405</v>
      </c>
      <c r="F169" s="20" t="s">
        <v>132</v>
      </c>
      <c r="G169" s="22">
        <v>2</v>
      </c>
      <c r="H169" s="25"/>
      <c r="I169" s="25"/>
      <c r="J169" s="25"/>
      <c r="K169" s="12"/>
      <c r="L169" s="12"/>
      <c r="M169" s="2"/>
      <c r="N169" s="2"/>
    </row>
    <row r="170" spans="1:14">
      <c r="A170" s="24"/>
      <c r="B170" s="109" t="s">
        <v>3</v>
      </c>
      <c r="C170" s="20" t="s">
        <v>419</v>
      </c>
      <c r="D170" s="20" t="s">
        <v>420</v>
      </c>
      <c r="E170" s="20" t="s">
        <v>405</v>
      </c>
      <c r="F170" s="20" t="s">
        <v>132</v>
      </c>
      <c r="G170" s="22">
        <v>2</v>
      </c>
      <c r="H170" s="25"/>
      <c r="I170" s="25"/>
      <c r="J170" s="25"/>
      <c r="K170" s="12"/>
      <c r="L170" s="12"/>
      <c r="M170" s="2"/>
      <c r="N170" s="2"/>
    </row>
    <row r="171" spans="1:14">
      <c r="A171" s="24"/>
      <c r="B171" s="109" t="s">
        <v>3</v>
      </c>
      <c r="C171" s="20" t="s">
        <v>417</v>
      </c>
      <c r="D171" s="20" t="s">
        <v>418</v>
      </c>
      <c r="E171" s="20" t="s">
        <v>405</v>
      </c>
      <c r="F171" s="20" t="s">
        <v>132</v>
      </c>
      <c r="G171" s="22">
        <v>3</v>
      </c>
      <c r="H171" s="25"/>
      <c r="I171" s="25"/>
      <c r="J171" s="25"/>
      <c r="K171" s="12"/>
      <c r="L171" s="12"/>
      <c r="M171" s="2"/>
      <c r="N171" s="2"/>
    </row>
    <row r="172" spans="1:14">
      <c r="A172" s="24"/>
      <c r="B172" s="109" t="s">
        <v>3</v>
      </c>
      <c r="C172" s="20" t="s">
        <v>415</v>
      </c>
      <c r="D172" s="20" t="s">
        <v>416</v>
      </c>
      <c r="E172" s="20" t="s">
        <v>405</v>
      </c>
      <c r="F172" s="20" t="s">
        <v>132</v>
      </c>
      <c r="G172" s="22">
        <v>2</v>
      </c>
      <c r="H172" s="25"/>
      <c r="I172" s="25"/>
      <c r="J172" s="25"/>
      <c r="K172" s="12"/>
      <c r="L172" s="12"/>
      <c r="M172" s="2"/>
      <c r="N172" s="2"/>
    </row>
    <row r="173" spans="1:14">
      <c r="A173" s="26"/>
      <c r="B173" s="109" t="s">
        <v>3</v>
      </c>
      <c r="C173" s="20" t="s">
        <v>421</v>
      </c>
      <c r="D173" s="20" t="s">
        <v>422</v>
      </c>
      <c r="E173" s="20" t="s">
        <v>405</v>
      </c>
      <c r="F173" s="20" t="s">
        <v>132</v>
      </c>
      <c r="G173" s="22">
        <v>2</v>
      </c>
      <c r="H173" s="27"/>
      <c r="I173" s="27"/>
      <c r="J173" s="27"/>
      <c r="K173" s="12"/>
      <c r="L173" s="12"/>
      <c r="M173" s="2"/>
      <c r="N173" s="2"/>
    </row>
    <row r="174" spans="1:14">
      <c r="A174" s="21" t="s">
        <v>502</v>
      </c>
      <c r="B174" s="109" t="s">
        <v>3</v>
      </c>
      <c r="C174" s="20" t="s">
        <v>433</v>
      </c>
      <c r="D174" s="20" t="s">
        <v>434</v>
      </c>
      <c r="E174" s="20" t="s">
        <v>405</v>
      </c>
      <c r="F174" s="20" t="s">
        <v>249</v>
      </c>
      <c r="G174" s="22">
        <v>2</v>
      </c>
      <c r="H174" s="23">
        <v>11</v>
      </c>
      <c r="I174" s="23">
        <v>12</v>
      </c>
      <c r="J174" s="23" t="s">
        <v>458</v>
      </c>
      <c r="K174" s="12"/>
      <c r="L174" s="12"/>
      <c r="M174" s="2"/>
      <c r="N174" s="2"/>
    </row>
    <row r="175" spans="1:14">
      <c r="A175" s="24"/>
      <c r="B175" s="109" t="s">
        <v>3</v>
      </c>
      <c r="C175" s="20" t="s">
        <v>429</v>
      </c>
      <c r="D175" s="20" t="s">
        <v>430</v>
      </c>
      <c r="E175" s="20" t="s">
        <v>405</v>
      </c>
      <c r="F175" s="20" t="s">
        <v>249</v>
      </c>
      <c r="G175" s="22">
        <v>3</v>
      </c>
      <c r="H175" s="25"/>
      <c r="I175" s="25"/>
      <c r="J175" s="25"/>
      <c r="K175" s="12"/>
      <c r="L175" s="12"/>
      <c r="M175" s="2"/>
      <c r="N175" s="2"/>
    </row>
    <row r="176" spans="1:14">
      <c r="A176" s="24"/>
      <c r="B176" s="109" t="s">
        <v>3</v>
      </c>
      <c r="C176" s="20" t="s">
        <v>427</v>
      </c>
      <c r="D176" s="20" t="s">
        <v>428</v>
      </c>
      <c r="E176" s="20" t="s">
        <v>405</v>
      </c>
      <c r="F176" s="20" t="s">
        <v>249</v>
      </c>
      <c r="G176" s="22">
        <v>5</v>
      </c>
      <c r="H176" s="25"/>
      <c r="I176" s="25"/>
      <c r="J176" s="25"/>
      <c r="K176" s="12"/>
      <c r="L176" s="12"/>
      <c r="M176" s="2"/>
      <c r="N176" s="2"/>
    </row>
    <row r="177" spans="1:14">
      <c r="A177" s="24"/>
      <c r="B177" s="109" t="s">
        <v>3</v>
      </c>
      <c r="C177" s="20" t="s">
        <v>425</v>
      </c>
      <c r="D177" s="20" t="s">
        <v>426</v>
      </c>
      <c r="E177" s="20" t="s">
        <v>405</v>
      </c>
      <c r="F177" s="20" t="s">
        <v>249</v>
      </c>
      <c r="G177" s="22">
        <v>3</v>
      </c>
      <c r="H177" s="25"/>
      <c r="I177" s="25"/>
      <c r="J177" s="25"/>
      <c r="K177" s="12"/>
      <c r="L177" s="12"/>
      <c r="M177" s="2"/>
      <c r="N177" s="2"/>
    </row>
    <row r="178" spans="1:14">
      <c r="A178" s="24"/>
      <c r="B178" s="109" t="s">
        <v>3</v>
      </c>
      <c r="C178" s="20" t="s">
        <v>431</v>
      </c>
      <c r="D178" s="20" t="s">
        <v>432</v>
      </c>
      <c r="E178" s="20" t="s">
        <v>405</v>
      </c>
      <c r="F178" s="20" t="s">
        <v>249</v>
      </c>
      <c r="G178" s="22">
        <v>2</v>
      </c>
      <c r="H178" s="25"/>
      <c r="I178" s="25"/>
      <c r="J178" s="25"/>
      <c r="K178" s="12"/>
      <c r="L178" s="12"/>
      <c r="M178" s="2"/>
      <c r="N178" s="2"/>
    </row>
    <row r="179" spans="1:14">
      <c r="A179" s="26"/>
      <c r="B179" s="109" t="s">
        <v>3</v>
      </c>
      <c r="C179" s="20" t="s">
        <v>407</v>
      </c>
      <c r="D179" s="20" t="s">
        <v>408</v>
      </c>
      <c r="E179" s="20" t="s">
        <v>405</v>
      </c>
      <c r="F179" s="20" t="s">
        <v>406</v>
      </c>
      <c r="G179" s="22">
        <v>3</v>
      </c>
      <c r="H179" s="27"/>
      <c r="I179" s="27"/>
      <c r="J179" s="27"/>
      <c r="K179" s="12"/>
      <c r="L179" s="12"/>
      <c r="M179" s="2"/>
      <c r="N179" s="2"/>
    </row>
    <row r="180" spans="1:14">
      <c r="A180" s="19" t="s">
        <v>457</v>
      </c>
      <c r="B180" s="109" t="s">
        <v>3</v>
      </c>
      <c r="C180" s="20" t="s">
        <v>159</v>
      </c>
      <c r="D180" s="20" t="s">
        <v>160</v>
      </c>
      <c r="E180" s="20" t="s">
        <v>143</v>
      </c>
      <c r="F180" s="20" t="s">
        <v>156</v>
      </c>
      <c r="G180" s="22">
        <v>9</v>
      </c>
      <c r="H180" s="28">
        <v>12</v>
      </c>
      <c r="I180" s="28">
        <v>13</v>
      </c>
      <c r="J180" s="19" t="s">
        <v>458</v>
      </c>
      <c r="K180" s="12"/>
      <c r="L180" s="12"/>
      <c r="M180" s="2"/>
      <c r="N180" s="2"/>
    </row>
    <row r="181" spans="1:14">
      <c r="A181" s="19" t="s">
        <v>459</v>
      </c>
      <c r="B181" s="109" t="s">
        <v>3</v>
      </c>
      <c r="C181" s="20" t="s">
        <v>159</v>
      </c>
      <c r="D181" s="20" t="s">
        <v>160</v>
      </c>
      <c r="E181" s="20" t="s">
        <v>143</v>
      </c>
      <c r="F181" s="20" t="s">
        <v>156</v>
      </c>
      <c r="G181" s="22">
        <v>9</v>
      </c>
      <c r="H181" s="28">
        <v>12</v>
      </c>
      <c r="I181" s="28">
        <v>13</v>
      </c>
      <c r="J181" s="19" t="s">
        <v>458</v>
      </c>
      <c r="K181" s="12"/>
      <c r="L181" s="12"/>
      <c r="M181" s="2"/>
      <c r="N181" s="2"/>
    </row>
    <row r="182" spans="1:14">
      <c r="A182" s="19" t="s">
        <v>460</v>
      </c>
      <c r="B182" s="109" t="s">
        <v>3</v>
      </c>
      <c r="C182" s="20" t="s">
        <v>157</v>
      </c>
      <c r="D182" s="20" t="s">
        <v>158</v>
      </c>
      <c r="E182" s="20" t="s">
        <v>143</v>
      </c>
      <c r="F182" s="20" t="s">
        <v>156</v>
      </c>
      <c r="G182" s="22">
        <v>9</v>
      </c>
      <c r="H182" s="28">
        <v>12</v>
      </c>
      <c r="I182" s="28">
        <v>13</v>
      </c>
      <c r="J182" s="19" t="s">
        <v>458</v>
      </c>
      <c r="K182" s="12"/>
      <c r="L182" s="12"/>
      <c r="M182" s="2"/>
      <c r="N182" s="2"/>
    </row>
    <row r="183" spans="1:14">
      <c r="A183" s="19" t="s">
        <v>461</v>
      </c>
      <c r="B183" s="109" t="s">
        <v>3</v>
      </c>
      <c r="C183" s="20" t="s">
        <v>157</v>
      </c>
      <c r="D183" s="20" t="s">
        <v>158</v>
      </c>
      <c r="E183" s="20" t="s">
        <v>143</v>
      </c>
      <c r="F183" s="20" t="s">
        <v>156</v>
      </c>
      <c r="G183" s="22">
        <v>9</v>
      </c>
      <c r="H183" s="28">
        <v>12</v>
      </c>
      <c r="I183" s="28">
        <v>13</v>
      </c>
      <c r="J183" s="19" t="s">
        <v>458</v>
      </c>
      <c r="K183" s="12"/>
      <c r="L183" s="12"/>
      <c r="M183" s="2"/>
      <c r="N183" s="2"/>
    </row>
    <row r="184" spans="1:14">
      <c r="A184" s="19" t="s">
        <v>462</v>
      </c>
      <c r="B184" s="109" t="s">
        <v>3</v>
      </c>
      <c r="C184" s="20" t="s">
        <v>157</v>
      </c>
      <c r="D184" s="20" t="s">
        <v>158</v>
      </c>
      <c r="E184" s="20" t="s">
        <v>143</v>
      </c>
      <c r="F184" s="20" t="s">
        <v>156</v>
      </c>
      <c r="G184" s="22">
        <v>9</v>
      </c>
      <c r="H184" s="28">
        <v>12</v>
      </c>
      <c r="I184" s="28">
        <v>13</v>
      </c>
      <c r="J184" s="19" t="s">
        <v>458</v>
      </c>
      <c r="K184" s="12"/>
      <c r="L184" s="12"/>
      <c r="M184" s="2"/>
      <c r="N184" s="2"/>
    </row>
    <row r="185" spans="1:14">
      <c r="A185" s="19" t="s">
        <v>463</v>
      </c>
      <c r="B185" s="109" t="s">
        <v>3</v>
      </c>
      <c r="C185" s="20" t="s">
        <v>157</v>
      </c>
      <c r="D185" s="20" t="s">
        <v>158</v>
      </c>
      <c r="E185" s="20" t="s">
        <v>143</v>
      </c>
      <c r="F185" s="20" t="s">
        <v>156</v>
      </c>
      <c r="G185" s="22">
        <v>9</v>
      </c>
      <c r="H185" s="28">
        <v>12</v>
      </c>
      <c r="I185" s="28">
        <v>13</v>
      </c>
      <c r="J185" s="19" t="s">
        <v>458</v>
      </c>
      <c r="K185" s="12"/>
      <c r="L185" s="12"/>
      <c r="M185" s="2"/>
      <c r="N185" s="2"/>
    </row>
    <row r="186" spans="1:14">
      <c r="A186" s="19" t="s">
        <v>464</v>
      </c>
      <c r="B186" s="109" t="s">
        <v>3</v>
      </c>
      <c r="C186" s="20" t="s">
        <v>157</v>
      </c>
      <c r="D186" s="20" t="s">
        <v>158</v>
      </c>
      <c r="E186" s="20" t="s">
        <v>143</v>
      </c>
      <c r="F186" s="20" t="s">
        <v>156</v>
      </c>
      <c r="G186" s="22">
        <v>9</v>
      </c>
      <c r="H186" s="28">
        <v>12</v>
      </c>
      <c r="I186" s="28">
        <v>13</v>
      </c>
      <c r="J186" s="19" t="s">
        <v>458</v>
      </c>
      <c r="K186" s="12"/>
      <c r="L186" s="12"/>
      <c r="M186" s="2"/>
      <c r="N186" s="2"/>
    </row>
    <row r="187" spans="1:14">
      <c r="A187" s="19" t="s">
        <v>465</v>
      </c>
      <c r="B187" s="109" t="s">
        <v>3</v>
      </c>
      <c r="C187" s="20" t="s">
        <v>157</v>
      </c>
      <c r="D187" s="20" t="s">
        <v>158</v>
      </c>
      <c r="E187" s="20" t="s">
        <v>143</v>
      </c>
      <c r="F187" s="20" t="s">
        <v>156</v>
      </c>
      <c r="G187" s="22">
        <v>9</v>
      </c>
      <c r="H187" s="28">
        <v>12</v>
      </c>
      <c r="I187" s="28">
        <v>13</v>
      </c>
      <c r="J187" s="19" t="s">
        <v>458</v>
      </c>
      <c r="K187" s="12"/>
      <c r="L187" s="12"/>
      <c r="M187" s="2"/>
      <c r="N187" s="2"/>
    </row>
    <row r="188" spans="1:14">
      <c r="A188" s="19" t="s">
        <v>466</v>
      </c>
      <c r="B188" s="109" t="s">
        <v>3</v>
      </c>
      <c r="C188" s="20" t="s">
        <v>157</v>
      </c>
      <c r="D188" s="20" t="s">
        <v>158</v>
      </c>
      <c r="E188" s="20" t="s">
        <v>143</v>
      </c>
      <c r="F188" s="20" t="s">
        <v>156</v>
      </c>
      <c r="G188" s="22">
        <v>9</v>
      </c>
      <c r="H188" s="28">
        <v>12</v>
      </c>
      <c r="I188" s="28">
        <v>13</v>
      </c>
      <c r="J188" s="19" t="s">
        <v>458</v>
      </c>
      <c r="K188" s="12"/>
      <c r="L188" s="12"/>
      <c r="M188" s="2"/>
      <c r="N188" s="2"/>
    </row>
    <row r="189" spans="1:14">
      <c r="A189" s="19" t="s">
        <v>467</v>
      </c>
      <c r="B189" s="109" t="s">
        <v>3</v>
      </c>
      <c r="C189" s="20" t="s">
        <v>154</v>
      </c>
      <c r="D189" s="20" t="s">
        <v>155</v>
      </c>
      <c r="E189" s="20" t="s">
        <v>143</v>
      </c>
      <c r="F189" s="20" t="s">
        <v>156</v>
      </c>
      <c r="G189" s="22">
        <v>9</v>
      </c>
      <c r="H189" s="28">
        <v>12</v>
      </c>
      <c r="I189" s="28">
        <v>13</v>
      </c>
      <c r="J189" s="19" t="s">
        <v>458</v>
      </c>
      <c r="K189" s="12"/>
      <c r="L189" s="12"/>
      <c r="M189" s="2"/>
      <c r="N189" s="2"/>
    </row>
    <row r="190" spans="1:14">
      <c r="A190" s="19" t="s">
        <v>468</v>
      </c>
      <c r="B190" s="109" t="s">
        <v>3</v>
      </c>
      <c r="C190" s="20" t="s">
        <v>154</v>
      </c>
      <c r="D190" s="20" t="s">
        <v>155</v>
      </c>
      <c r="E190" s="20" t="s">
        <v>143</v>
      </c>
      <c r="F190" s="20" t="s">
        <v>156</v>
      </c>
      <c r="G190" s="22">
        <v>9</v>
      </c>
      <c r="H190" s="28">
        <v>12</v>
      </c>
      <c r="I190" s="28">
        <v>13</v>
      </c>
      <c r="J190" s="19" t="s">
        <v>458</v>
      </c>
      <c r="K190" s="12"/>
      <c r="L190" s="12"/>
      <c r="M190" s="2"/>
      <c r="N190" s="2"/>
    </row>
    <row r="191" spans="1:14">
      <c r="A191" s="19" t="s">
        <v>469</v>
      </c>
      <c r="B191" s="109" t="s">
        <v>3</v>
      </c>
      <c r="C191" s="20" t="s">
        <v>154</v>
      </c>
      <c r="D191" s="20" t="s">
        <v>155</v>
      </c>
      <c r="E191" s="20" t="s">
        <v>143</v>
      </c>
      <c r="F191" s="20" t="s">
        <v>156</v>
      </c>
      <c r="G191" s="22">
        <v>9</v>
      </c>
      <c r="H191" s="28">
        <v>12</v>
      </c>
      <c r="I191" s="28">
        <v>13</v>
      </c>
      <c r="J191" s="19" t="s">
        <v>458</v>
      </c>
      <c r="K191" s="12"/>
      <c r="L191" s="12"/>
      <c r="M191" s="2"/>
      <c r="N191" s="2"/>
    </row>
    <row r="192" spans="1:14">
      <c r="A192" s="19" t="s">
        <v>470</v>
      </c>
      <c r="B192" s="109" t="s">
        <v>3</v>
      </c>
      <c r="C192" s="20" t="s">
        <v>154</v>
      </c>
      <c r="D192" s="20" t="s">
        <v>155</v>
      </c>
      <c r="E192" s="20" t="s">
        <v>143</v>
      </c>
      <c r="F192" s="20" t="s">
        <v>156</v>
      </c>
      <c r="G192" s="22">
        <v>9</v>
      </c>
      <c r="H192" s="28">
        <v>12</v>
      </c>
      <c r="I192" s="28">
        <v>13</v>
      </c>
      <c r="J192" s="19" t="s">
        <v>458</v>
      </c>
      <c r="K192" s="12"/>
      <c r="L192" s="12"/>
      <c r="M192" s="2"/>
      <c r="N192" s="2"/>
    </row>
    <row r="193" spans="1:14">
      <c r="A193" s="19" t="s">
        <v>471</v>
      </c>
      <c r="B193" s="109" t="s">
        <v>3</v>
      </c>
      <c r="C193" s="20" t="s">
        <v>154</v>
      </c>
      <c r="D193" s="20" t="s">
        <v>155</v>
      </c>
      <c r="E193" s="20" t="s">
        <v>143</v>
      </c>
      <c r="F193" s="20" t="s">
        <v>156</v>
      </c>
      <c r="G193" s="22">
        <v>9</v>
      </c>
      <c r="H193" s="28">
        <v>12</v>
      </c>
      <c r="I193" s="28">
        <v>13</v>
      </c>
      <c r="J193" s="19" t="s">
        <v>458</v>
      </c>
      <c r="K193" s="12"/>
      <c r="L193" s="12"/>
      <c r="M193" s="2"/>
      <c r="N193" s="2"/>
    </row>
    <row r="194" spans="1:14">
      <c r="A194" s="19" t="s">
        <v>472</v>
      </c>
      <c r="B194" s="109" t="s">
        <v>3</v>
      </c>
      <c r="C194" s="20" t="s">
        <v>154</v>
      </c>
      <c r="D194" s="20" t="s">
        <v>155</v>
      </c>
      <c r="E194" s="20" t="s">
        <v>143</v>
      </c>
      <c r="F194" s="20" t="s">
        <v>156</v>
      </c>
      <c r="G194" s="22">
        <v>9</v>
      </c>
      <c r="H194" s="28">
        <v>12</v>
      </c>
      <c r="I194" s="28">
        <v>13</v>
      </c>
      <c r="J194" s="19" t="s">
        <v>458</v>
      </c>
      <c r="K194" s="12"/>
      <c r="L194" s="12"/>
      <c r="M194" s="2"/>
      <c r="N194" s="2"/>
    </row>
    <row r="195" spans="1:14">
      <c r="A195" s="19" t="s">
        <v>473</v>
      </c>
      <c r="B195" s="109" t="s">
        <v>3</v>
      </c>
      <c r="C195" s="20" t="s">
        <v>154</v>
      </c>
      <c r="D195" s="20" t="s">
        <v>155</v>
      </c>
      <c r="E195" s="20" t="s">
        <v>143</v>
      </c>
      <c r="F195" s="20" t="s">
        <v>156</v>
      </c>
      <c r="G195" s="22">
        <v>9</v>
      </c>
      <c r="H195" s="28">
        <v>12</v>
      </c>
      <c r="I195" s="28">
        <v>13</v>
      </c>
      <c r="J195" s="19" t="s">
        <v>458</v>
      </c>
      <c r="K195" s="12"/>
      <c r="L195" s="12"/>
      <c r="M195" s="2"/>
      <c r="N195" s="2"/>
    </row>
    <row r="196" spans="1:14">
      <c r="A196" s="19" t="s">
        <v>474</v>
      </c>
      <c r="B196" s="109" t="s">
        <v>3</v>
      </c>
      <c r="C196" s="20" t="s">
        <v>154</v>
      </c>
      <c r="D196" s="20" t="s">
        <v>155</v>
      </c>
      <c r="E196" s="20" t="s">
        <v>143</v>
      </c>
      <c r="F196" s="20" t="s">
        <v>156</v>
      </c>
      <c r="G196" s="22">
        <v>9</v>
      </c>
      <c r="H196" s="28">
        <v>12</v>
      </c>
      <c r="I196" s="28">
        <v>13</v>
      </c>
      <c r="J196" s="19" t="s">
        <v>458</v>
      </c>
      <c r="K196" s="12"/>
      <c r="L196" s="12"/>
      <c r="M196" s="2"/>
      <c r="N196" s="2"/>
    </row>
    <row r="197" spans="1:14">
      <c r="A197" s="19" t="s">
        <v>475</v>
      </c>
      <c r="B197" s="109" t="s">
        <v>3</v>
      </c>
      <c r="C197" s="20" t="s">
        <v>154</v>
      </c>
      <c r="D197" s="20" t="s">
        <v>155</v>
      </c>
      <c r="E197" s="20" t="s">
        <v>143</v>
      </c>
      <c r="F197" s="20" t="s">
        <v>156</v>
      </c>
      <c r="G197" s="22">
        <v>9</v>
      </c>
      <c r="H197" s="28">
        <v>12</v>
      </c>
      <c r="I197" s="28">
        <v>13</v>
      </c>
      <c r="J197" s="19" t="s">
        <v>458</v>
      </c>
      <c r="K197" s="12"/>
      <c r="L197" s="12"/>
      <c r="M197" s="2"/>
      <c r="N197" s="2"/>
    </row>
    <row r="198" spans="1:14">
      <c r="A198" s="19" t="s">
        <v>476</v>
      </c>
      <c r="B198" s="109" t="s">
        <v>3</v>
      </c>
      <c r="C198" s="20" t="s">
        <v>154</v>
      </c>
      <c r="D198" s="20" t="s">
        <v>155</v>
      </c>
      <c r="E198" s="20" t="s">
        <v>143</v>
      </c>
      <c r="F198" s="20" t="s">
        <v>156</v>
      </c>
      <c r="G198" s="22">
        <v>9</v>
      </c>
      <c r="H198" s="28">
        <v>12</v>
      </c>
      <c r="I198" s="28">
        <v>13</v>
      </c>
      <c r="J198" s="19" t="s">
        <v>458</v>
      </c>
      <c r="K198" s="12"/>
      <c r="L198" s="12"/>
      <c r="M198" s="2"/>
      <c r="N198" s="2"/>
    </row>
    <row r="199" spans="1:14">
      <c r="A199" s="19" t="s">
        <v>477</v>
      </c>
      <c r="B199" s="109" t="s">
        <v>3</v>
      </c>
      <c r="C199" s="20" t="s">
        <v>154</v>
      </c>
      <c r="D199" s="20" t="s">
        <v>155</v>
      </c>
      <c r="E199" s="20" t="s">
        <v>143</v>
      </c>
      <c r="F199" s="20" t="s">
        <v>156</v>
      </c>
      <c r="G199" s="22">
        <v>9</v>
      </c>
      <c r="H199" s="28">
        <v>12</v>
      </c>
      <c r="I199" s="28">
        <v>13</v>
      </c>
      <c r="J199" s="19" t="s">
        <v>458</v>
      </c>
      <c r="K199" s="12"/>
      <c r="L199" s="12"/>
      <c r="M199" s="2"/>
      <c r="N199" s="2"/>
    </row>
    <row r="200" spans="1:14">
      <c r="A200" s="19" t="s">
        <v>478</v>
      </c>
      <c r="B200" s="109" t="s">
        <v>3</v>
      </c>
      <c r="C200" s="20" t="s">
        <v>161</v>
      </c>
      <c r="D200" s="20" t="s">
        <v>162</v>
      </c>
      <c r="E200" s="20" t="s">
        <v>143</v>
      </c>
      <c r="F200" s="20" t="s">
        <v>156</v>
      </c>
      <c r="G200" s="22">
        <v>9</v>
      </c>
      <c r="H200" s="28">
        <v>12</v>
      </c>
      <c r="I200" s="28">
        <v>13</v>
      </c>
      <c r="J200" s="19" t="s">
        <v>458</v>
      </c>
      <c r="K200" s="12"/>
      <c r="L200" s="12"/>
      <c r="M200" s="2"/>
      <c r="N200" s="2"/>
    </row>
    <row r="201" spans="1:14">
      <c r="A201" s="19" t="s">
        <v>479</v>
      </c>
      <c r="B201" s="109" t="s">
        <v>3</v>
      </c>
      <c r="C201" s="20" t="s">
        <v>161</v>
      </c>
      <c r="D201" s="20" t="s">
        <v>162</v>
      </c>
      <c r="E201" s="20" t="s">
        <v>143</v>
      </c>
      <c r="F201" s="20" t="s">
        <v>156</v>
      </c>
      <c r="G201" s="22">
        <v>9</v>
      </c>
      <c r="H201" s="28">
        <v>12</v>
      </c>
      <c r="I201" s="28">
        <v>13</v>
      </c>
      <c r="J201" s="19" t="s">
        <v>458</v>
      </c>
      <c r="K201" s="12"/>
      <c r="L201" s="12"/>
      <c r="M201" s="2"/>
      <c r="N201" s="2"/>
    </row>
    <row r="202" spans="1:14">
      <c r="A202" s="19" t="s">
        <v>480</v>
      </c>
      <c r="B202" s="109" t="s">
        <v>3</v>
      </c>
      <c r="C202" s="20" t="s">
        <v>161</v>
      </c>
      <c r="D202" s="20" t="s">
        <v>162</v>
      </c>
      <c r="E202" s="20" t="s">
        <v>143</v>
      </c>
      <c r="F202" s="20" t="s">
        <v>156</v>
      </c>
      <c r="G202" s="22">
        <v>9</v>
      </c>
      <c r="H202" s="28">
        <v>12</v>
      </c>
      <c r="I202" s="28">
        <v>13</v>
      </c>
      <c r="J202" s="19" t="s">
        <v>458</v>
      </c>
      <c r="K202" s="12"/>
      <c r="L202" s="12"/>
      <c r="M202" s="2"/>
      <c r="N202" s="2"/>
    </row>
    <row r="203" spans="1:14">
      <c r="A203" s="19" t="s">
        <v>481</v>
      </c>
      <c r="B203" s="109" t="s">
        <v>3</v>
      </c>
      <c r="C203" s="20" t="s">
        <v>161</v>
      </c>
      <c r="D203" s="20" t="s">
        <v>162</v>
      </c>
      <c r="E203" s="20" t="s">
        <v>143</v>
      </c>
      <c r="F203" s="20" t="s">
        <v>156</v>
      </c>
      <c r="G203" s="22">
        <v>9</v>
      </c>
      <c r="H203" s="28">
        <v>12</v>
      </c>
      <c r="I203" s="28">
        <v>13</v>
      </c>
      <c r="J203" s="19" t="s">
        <v>458</v>
      </c>
      <c r="K203" s="12"/>
      <c r="L203" s="12"/>
      <c r="M203" s="2"/>
      <c r="N203" s="2"/>
    </row>
    <row r="204" spans="1:14">
      <c r="A204" s="19" t="s">
        <v>482</v>
      </c>
      <c r="B204" s="109" t="s">
        <v>3</v>
      </c>
      <c r="C204" s="20" t="s">
        <v>163</v>
      </c>
      <c r="D204" s="20" t="s">
        <v>164</v>
      </c>
      <c r="E204" s="20" t="s">
        <v>143</v>
      </c>
      <c r="F204" s="20" t="s">
        <v>156</v>
      </c>
      <c r="G204" s="22">
        <v>9</v>
      </c>
      <c r="H204" s="28">
        <v>12</v>
      </c>
      <c r="I204" s="28">
        <v>13</v>
      </c>
      <c r="J204" s="19" t="s">
        <v>458</v>
      </c>
      <c r="K204" s="12"/>
      <c r="L204" s="12"/>
      <c r="M204" s="2"/>
      <c r="N204" s="2"/>
    </row>
    <row r="205" spans="1:14">
      <c r="A205" s="19" t="s">
        <v>483</v>
      </c>
      <c r="B205" s="109" t="s">
        <v>3</v>
      </c>
      <c r="C205" s="20" t="s">
        <v>161</v>
      </c>
      <c r="D205" s="20" t="s">
        <v>162</v>
      </c>
      <c r="E205" s="20" t="s">
        <v>143</v>
      </c>
      <c r="F205" s="20" t="s">
        <v>156</v>
      </c>
      <c r="G205" s="22">
        <v>8</v>
      </c>
      <c r="H205" s="28">
        <v>12</v>
      </c>
      <c r="I205" s="28">
        <v>13</v>
      </c>
      <c r="J205" s="19" t="s">
        <v>458</v>
      </c>
      <c r="K205" s="12"/>
      <c r="L205" s="12"/>
      <c r="M205" s="2"/>
      <c r="N205" s="2"/>
    </row>
    <row r="206" spans="1:14">
      <c r="A206" s="21" t="s">
        <v>484</v>
      </c>
      <c r="B206" s="109" t="s">
        <v>3</v>
      </c>
      <c r="C206" s="20" t="s">
        <v>159</v>
      </c>
      <c r="D206" s="20" t="s">
        <v>160</v>
      </c>
      <c r="E206" s="20" t="s">
        <v>143</v>
      </c>
      <c r="F206" s="20" t="s">
        <v>156</v>
      </c>
      <c r="G206" s="22">
        <v>4</v>
      </c>
      <c r="H206" s="23">
        <v>12</v>
      </c>
      <c r="I206" s="23">
        <v>13</v>
      </c>
      <c r="J206" s="23" t="s">
        <v>458</v>
      </c>
      <c r="K206" s="12"/>
      <c r="L206" s="12"/>
      <c r="M206" s="2"/>
      <c r="N206" s="2"/>
    </row>
    <row r="207" spans="1:14">
      <c r="A207" s="24"/>
      <c r="B207" s="109" t="s">
        <v>3</v>
      </c>
      <c r="C207" s="20" t="s">
        <v>157</v>
      </c>
      <c r="D207" s="20" t="s">
        <v>158</v>
      </c>
      <c r="E207" s="20" t="s">
        <v>143</v>
      </c>
      <c r="F207" s="20" t="s">
        <v>156</v>
      </c>
      <c r="G207" s="22">
        <v>1</v>
      </c>
      <c r="H207" s="25"/>
      <c r="I207" s="25"/>
      <c r="J207" s="25"/>
      <c r="K207" s="12"/>
      <c r="L207" s="12"/>
      <c r="M207" s="2"/>
      <c r="N207" s="2"/>
    </row>
    <row r="208" spans="1:14">
      <c r="A208" s="24"/>
      <c r="B208" s="109" t="s">
        <v>3</v>
      </c>
      <c r="C208" s="20" t="s">
        <v>315</v>
      </c>
      <c r="D208" s="20" t="s">
        <v>316</v>
      </c>
      <c r="E208" s="20" t="s">
        <v>300</v>
      </c>
      <c r="F208" s="20" t="s">
        <v>312</v>
      </c>
      <c r="G208" s="22">
        <v>2</v>
      </c>
      <c r="H208" s="25"/>
      <c r="I208" s="25"/>
      <c r="J208" s="25"/>
      <c r="K208" s="12"/>
      <c r="L208" s="12"/>
      <c r="M208" s="2"/>
      <c r="N208" s="2"/>
    </row>
    <row r="209" spans="1:14">
      <c r="A209" s="24"/>
      <c r="B209" s="109" t="s">
        <v>3</v>
      </c>
      <c r="C209" s="20" t="s">
        <v>313</v>
      </c>
      <c r="D209" s="20" t="s">
        <v>314</v>
      </c>
      <c r="E209" s="20" t="s">
        <v>300</v>
      </c>
      <c r="F209" s="20" t="s">
        <v>312</v>
      </c>
      <c r="G209" s="22">
        <v>2</v>
      </c>
      <c r="H209" s="25"/>
      <c r="I209" s="25"/>
      <c r="J209" s="25"/>
      <c r="K209" s="12"/>
      <c r="L209" s="12"/>
      <c r="M209" s="2"/>
      <c r="N209" s="2"/>
    </row>
    <row r="210" spans="1:14">
      <c r="A210" s="24"/>
      <c r="B210" s="109" t="s">
        <v>3</v>
      </c>
      <c r="C210" s="20" t="s">
        <v>310</v>
      </c>
      <c r="D210" s="20" t="s">
        <v>311</v>
      </c>
      <c r="E210" s="20" t="s">
        <v>300</v>
      </c>
      <c r="F210" s="20" t="s">
        <v>312</v>
      </c>
      <c r="G210" s="22">
        <v>1</v>
      </c>
      <c r="H210" s="25"/>
      <c r="I210" s="25"/>
      <c r="J210" s="25"/>
      <c r="K210" s="12"/>
      <c r="L210" s="12"/>
      <c r="M210" s="2"/>
      <c r="N210" s="2"/>
    </row>
    <row r="211" spans="1:14">
      <c r="A211" s="24"/>
      <c r="B211" s="109" t="s">
        <v>3</v>
      </c>
      <c r="C211" s="20" t="s">
        <v>308</v>
      </c>
      <c r="D211" s="20" t="s">
        <v>309</v>
      </c>
      <c r="E211" s="20" t="s">
        <v>300</v>
      </c>
      <c r="F211" s="20" t="s">
        <v>301</v>
      </c>
      <c r="G211" s="22">
        <v>1</v>
      </c>
      <c r="H211" s="25"/>
      <c r="I211" s="25"/>
      <c r="J211" s="25"/>
      <c r="K211" s="12"/>
      <c r="L211" s="12"/>
      <c r="M211" s="2"/>
      <c r="N211" s="2"/>
    </row>
    <row r="212" spans="1:14">
      <c r="A212" s="24"/>
      <c r="B212" s="109" t="s">
        <v>3</v>
      </c>
      <c r="C212" s="20" t="s">
        <v>304</v>
      </c>
      <c r="D212" s="20" t="s">
        <v>305</v>
      </c>
      <c r="E212" s="20" t="s">
        <v>300</v>
      </c>
      <c r="F212" s="20" t="s">
        <v>301</v>
      </c>
      <c r="G212" s="22">
        <v>2</v>
      </c>
      <c r="H212" s="25"/>
      <c r="I212" s="25"/>
      <c r="J212" s="25"/>
      <c r="K212" s="12"/>
      <c r="L212" s="12"/>
      <c r="M212" s="2"/>
      <c r="N212" s="2"/>
    </row>
    <row r="213" spans="1:14">
      <c r="A213" s="24"/>
      <c r="B213" s="109" t="s">
        <v>3</v>
      </c>
      <c r="C213" s="20" t="s">
        <v>302</v>
      </c>
      <c r="D213" s="20" t="s">
        <v>303</v>
      </c>
      <c r="E213" s="20" t="s">
        <v>300</v>
      </c>
      <c r="F213" s="20" t="s">
        <v>301</v>
      </c>
      <c r="G213" s="22">
        <v>2</v>
      </c>
      <c r="H213" s="25"/>
      <c r="I213" s="25"/>
      <c r="J213" s="25"/>
      <c r="K213" s="12"/>
      <c r="L213" s="12"/>
      <c r="M213" s="2"/>
      <c r="N213" s="2"/>
    </row>
    <row r="214" spans="1:14">
      <c r="A214" s="24"/>
      <c r="B214" s="109" t="s">
        <v>3</v>
      </c>
      <c r="C214" s="20" t="s">
        <v>298</v>
      </c>
      <c r="D214" s="20" t="s">
        <v>299</v>
      </c>
      <c r="E214" s="20" t="s">
        <v>300</v>
      </c>
      <c r="F214" s="20" t="s">
        <v>301</v>
      </c>
      <c r="G214" s="22">
        <v>1</v>
      </c>
      <c r="H214" s="25"/>
      <c r="I214" s="25"/>
      <c r="J214" s="25"/>
      <c r="K214" s="12"/>
      <c r="L214" s="12"/>
      <c r="M214" s="2"/>
      <c r="N214" s="2"/>
    </row>
    <row r="215" spans="1:14">
      <c r="A215" s="24"/>
      <c r="B215" s="109" t="s">
        <v>3</v>
      </c>
      <c r="C215" s="20" t="s">
        <v>306</v>
      </c>
      <c r="D215" s="20" t="s">
        <v>307</v>
      </c>
      <c r="E215" s="20" t="s">
        <v>300</v>
      </c>
      <c r="F215" s="20" t="s">
        <v>301</v>
      </c>
      <c r="G215" s="22">
        <v>1</v>
      </c>
      <c r="H215" s="27"/>
      <c r="I215" s="27"/>
      <c r="J215" s="27"/>
      <c r="K215" s="12"/>
      <c r="L215" s="12"/>
      <c r="M215" s="2"/>
      <c r="N215" s="2"/>
    </row>
    <row r="216" spans="1:14">
      <c r="A216" s="21" t="s">
        <v>485</v>
      </c>
      <c r="B216" s="109" t="s">
        <v>3</v>
      </c>
      <c r="C216" s="20" t="s">
        <v>154</v>
      </c>
      <c r="D216" s="20" t="s">
        <v>155</v>
      </c>
      <c r="E216" s="20" t="s">
        <v>143</v>
      </c>
      <c r="F216" s="20" t="s">
        <v>156</v>
      </c>
      <c r="G216" s="22">
        <v>4</v>
      </c>
      <c r="H216" s="23">
        <v>12</v>
      </c>
      <c r="I216" s="23">
        <v>13</v>
      </c>
      <c r="J216" s="23" t="s">
        <v>458</v>
      </c>
      <c r="K216" s="12"/>
      <c r="L216" s="12"/>
      <c r="M216" s="2"/>
      <c r="N216" s="2"/>
    </row>
    <row r="217" spans="1:14">
      <c r="A217" s="26"/>
      <c r="B217" s="109" t="s">
        <v>3</v>
      </c>
      <c r="C217" s="20" t="s">
        <v>163</v>
      </c>
      <c r="D217" s="20" t="s">
        <v>164</v>
      </c>
      <c r="E217" s="20" t="s">
        <v>143</v>
      </c>
      <c r="F217" s="20" t="s">
        <v>156</v>
      </c>
      <c r="G217" s="22">
        <v>4</v>
      </c>
      <c r="H217" s="27"/>
      <c r="I217" s="27"/>
      <c r="J217" s="27"/>
      <c r="K217" s="12"/>
      <c r="L217" s="12"/>
      <c r="M217" s="2"/>
      <c r="N217" s="2"/>
    </row>
    <row r="218" spans="1:14">
      <c r="A218" s="19" t="s">
        <v>486</v>
      </c>
      <c r="B218" s="109" t="s">
        <v>3</v>
      </c>
      <c r="C218" s="20" t="s">
        <v>148</v>
      </c>
      <c r="D218" s="20" t="s">
        <v>149</v>
      </c>
      <c r="E218" s="20" t="s">
        <v>143</v>
      </c>
      <c r="F218" s="20" t="s">
        <v>144</v>
      </c>
      <c r="G218" s="22">
        <v>10</v>
      </c>
      <c r="H218" s="28">
        <v>12</v>
      </c>
      <c r="I218" s="28">
        <v>13</v>
      </c>
      <c r="J218" s="19" t="s">
        <v>458</v>
      </c>
      <c r="K218" s="12"/>
      <c r="L218" s="12"/>
      <c r="M218" s="2"/>
      <c r="N218" s="2"/>
    </row>
    <row r="219" spans="1:14">
      <c r="A219" s="19" t="s">
        <v>487</v>
      </c>
      <c r="B219" s="109" t="s">
        <v>3</v>
      </c>
      <c r="C219" s="20" t="s">
        <v>146</v>
      </c>
      <c r="D219" s="20" t="s">
        <v>147</v>
      </c>
      <c r="E219" s="20" t="s">
        <v>143</v>
      </c>
      <c r="F219" s="20" t="s">
        <v>144</v>
      </c>
      <c r="G219" s="22">
        <v>9</v>
      </c>
      <c r="H219" s="28">
        <v>12</v>
      </c>
      <c r="I219" s="28">
        <v>13</v>
      </c>
      <c r="J219" s="19" t="s">
        <v>458</v>
      </c>
      <c r="K219" s="12"/>
      <c r="L219" s="12"/>
      <c r="M219" s="2"/>
      <c r="N219" s="2"/>
    </row>
    <row r="220" spans="1:14">
      <c r="A220" s="19" t="s">
        <v>488</v>
      </c>
      <c r="B220" s="109" t="s">
        <v>3</v>
      </c>
      <c r="C220" s="20" t="s">
        <v>146</v>
      </c>
      <c r="D220" s="20" t="s">
        <v>147</v>
      </c>
      <c r="E220" s="20" t="s">
        <v>143</v>
      </c>
      <c r="F220" s="20" t="s">
        <v>144</v>
      </c>
      <c r="G220" s="22">
        <v>9</v>
      </c>
      <c r="H220" s="28">
        <v>12</v>
      </c>
      <c r="I220" s="28">
        <v>13</v>
      </c>
      <c r="J220" s="19" t="s">
        <v>458</v>
      </c>
      <c r="K220" s="12"/>
      <c r="L220" s="12"/>
      <c r="M220" s="2"/>
      <c r="N220" s="2"/>
    </row>
    <row r="221" spans="1:14">
      <c r="A221" s="19" t="s">
        <v>489</v>
      </c>
      <c r="B221" s="109" t="s">
        <v>3</v>
      </c>
      <c r="C221" s="20" t="s">
        <v>146</v>
      </c>
      <c r="D221" s="20" t="s">
        <v>147</v>
      </c>
      <c r="E221" s="20" t="s">
        <v>143</v>
      </c>
      <c r="F221" s="20" t="s">
        <v>144</v>
      </c>
      <c r="G221" s="22">
        <v>9</v>
      </c>
      <c r="H221" s="28">
        <v>12</v>
      </c>
      <c r="I221" s="28">
        <v>13</v>
      </c>
      <c r="J221" s="19" t="s">
        <v>458</v>
      </c>
      <c r="K221" s="12"/>
      <c r="L221" s="12"/>
      <c r="M221" s="2"/>
      <c r="N221" s="2"/>
    </row>
    <row r="222" spans="1:14">
      <c r="A222" s="19" t="s">
        <v>490</v>
      </c>
      <c r="B222" s="109" t="s">
        <v>3</v>
      </c>
      <c r="C222" s="20" t="s">
        <v>141</v>
      </c>
      <c r="D222" s="20" t="s">
        <v>142</v>
      </c>
      <c r="E222" s="20" t="s">
        <v>143</v>
      </c>
      <c r="F222" s="20" t="s">
        <v>144</v>
      </c>
      <c r="G222" s="22">
        <v>9</v>
      </c>
      <c r="H222" s="28">
        <v>12</v>
      </c>
      <c r="I222" s="28">
        <v>13</v>
      </c>
      <c r="J222" s="19" t="s">
        <v>458</v>
      </c>
      <c r="K222" s="12"/>
      <c r="L222" s="12"/>
      <c r="M222" s="2"/>
      <c r="N222" s="2"/>
    </row>
    <row r="223" spans="1:14">
      <c r="A223" s="19" t="s">
        <v>491</v>
      </c>
      <c r="B223" s="109" t="s">
        <v>3</v>
      </c>
      <c r="C223" s="20" t="s">
        <v>141</v>
      </c>
      <c r="D223" s="20" t="s">
        <v>142</v>
      </c>
      <c r="E223" s="20" t="s">
        <v>143</v>
      </c>
      <c r="F223" s="20" t="s">
        <v>144</v>
      </c>
      <c r="G223" s="22">
        <v>9</v>
      </c>
      <c r="H223" s="28">
        <v>12</v>
      </c>
      <c r="I223" s="28">
        <v>13</v>
      </c>
      <c r="J223" s="19" t="s">
        <v>458</v>
      </c>
      <c r="K223" s="12"/>
      <c r="L223" s="12"/>
      <c r="M223" s="2"/>
      <c r="N223" s="2"/>
    </row>
    <row r="224" spans="1:14">
      <c r="A224" s="19" t="s">
        <v>492</v>
      </c>
      <c r="B224" s="109" t="s">
        <v>3</v>
      </c>
      <c r="C224" s="20" t="s">
        <v>141</v>
      </c>
      <c r="D224" s="20" t="s">
        <v>142</v>
      </c>
      <c r="E224" s="20" t="s">
        <v>143</v>
      </c>
      <c r="F224" s="20" t="s">
        <v>144</v>
      </c>
      <c r="G224" s="22">
        <v>9</v>
      </c>
      <c r="H224" s="28">
        <v>12</v>
      </c>
      <c r="I224" s="28">
        <v>13</v>
      </c>
      <c r="J224" s="19" t="s">
        <v>458</v>
      </c>
      <c r="K224" s="12"/>
      <c r="L224" s="12"/>
      <c r="M224" s="2"/>
      <c r="N224" s="2"/>
    </row>
    <row r="225" spans="1:14">
      <c r="A225" s="19" t="s">
        <v>493</v>
      </c>
      <c r="B225" s="109" t="s">
        <v>3</v>
      </c>
      <c r="C225" s="20" t="s">
        <v>141</v>
      </c>
      <c r="D225" s="20" t="s">
        <v>142</v>
      </c>
      <c r="E225" s="20" t="s">
        <v>143</v>
      </c>
      <c r="F225" s="20" t="s">
        <v>144</v>
      </c>
      <c r="G225" s="22">
        <v>9</v>
      </c>
      <c r="H225" s="28">
        <v>12</v>
      </c>
      <c r="I225" s="28">
        <v>13</v>
      </c>
      <c r="J225" s="19" t="s">
        <v>458</v>
      </c>
      <c r="K225" s="12"/>
      <c r="L225" s="12"/>
      <c r="M225" s="2"/>
      <c r="N225" s="2"/>
    </row>
    <row r="226" spans="1:14">
      <c r="A226" s="19" t="s">
        <v>494</v>
      </c>
      <c r="B226" s="109" t="s">
        <v>3</v>
      </c>
      <c r="C226" s="20" t="s">
        <v>141</v>
      </c>
      <c r="D226" s="20" t="s">
        <v>142</v>
      </c>
      <c r="E226" s="20" t="s">
        <v>143</v>
      </c>
      <c r="F226" s="20" t="s">
        <v>144</v>
      </c>
      <c r="G226" s="22">
        <v>9</v>
      </c>
      <c r="H226" s="28">
        <v>12</v>
      </c>
      <c r="I226" s="28">
        <v>13</v>
      </c>
      <c r="J226" s="19" t="s">
        <v>458</v>
      </c>
      <c r="K226" s="12"/>
      <c r="L226" s="12"/>
      <c r="M226" s="2"/>
      <c r="N226" s="2"/>
    </row>
    <row r="227" spans="1:14">
      <c r="A227" s="19" t="s">
        <v>495</v>
      </c>
      <c r="B227" s="109" t="s">
        <v>3</v>
      </c>
      <c r="C227" s="20" t="s">
        <v>141</v>
      </c>
      <c r="D227" s="20" t="s">
        <v>142</v>
      </c>
      <c r="E227" s="20" t="s">
        <v>143</v>
      </c>
      <c r="F227" s="20" t="s">
        <v>144</v>
      </c>
      <c r="G227" s="22">
        <v>9</v>
      </c>
      <c r="H227" s="28">
        <v>12</v>
      </c>
      <c r="I227" s="28">
        <v>13</v>
      </c>
      <c r="J227" s="19" t="s">
        <v>458</v>
      </c>
      <c r="K227" s="12"/>
      <c r="L227" s="12"/>
      <c r="M227" s="2"/>
      <c r="N227" s="2"/>
    </row>
    <row r="228" spans="1:14">
      <c r="A228" s="19" t="s">
        <v>496</v>
      </c>
      <c r="B228" s="109" t="s">
        <v>3</v>
      </c>
      <c r="C228" s="20" t="s">
        <v>150</v>
      </c>
      <c r="D228" s="20" t="s">
        <v>151</v>
      </c>
      <c r="E228" s="20" t="s">
        <v>143</v>
      </c>
      <c r="F228" s="20" t="s">
        <v>144</v>
      </c>
      <c r="G228" s="22">
        <v>9</v>
      </c>
      <c r="H228" s="28">
        <v>12</v>
      </c>
      <c r="I228" s="28">
        <v>13</v>
      </c>
      <c r="J228" s="19" t="s">
        <v>458</v>
      </c>
      <c r="K228" s="12"/>
      <c r="L228" s="12"/>
      <c r="M228" s="2"/>
      <c r="N228" s="2"/>
    </row>
    <row r="229" spans="1:14">
      <c r="A229" s="19" t="s">
        <v>497</v>
      </c>
      <c r="B229" s="109" t="s">
        <v>3</v>
      </c>
      <c r="C229" s="20" t="s">
        <v>150</v>
      </c>
      <c r="D229" s="20" t="s">
        <v>151</v>
      </c>
      <c r="E229" s="20" t="s">
        <v>143</v>
      </c>
      <c r="F229" s="20" t="s">
        <v>144</v>
      </c>
      <c r="G229" s="22">
        <v>9</v>
      </c>
      <c r="H229" s="28">
        <v>12</v>
      </c>
      <c r="I229" s="28">
        <v>13</v>
      </c>
      <c r="J229" s="19" t="s">
        <v>458</v>
      </c>
      <c r="K229" s="12"/>
      <c r="L229" s="12"/>
      <c r="M229" s="2"/>
      <c r="N229" s="2"/>
    </row>
    <row r="230" spans="1:14">
      <c r="A230" s="21" t="s">
        <v>498</v>
      </c>
      <c r="B230" s="109" t="s">
        <v>3</v>
      </c>
      <c r="C230" s="20" t="s">
        <v>141</v>
      </c>
      <c r="D230" s="20" t="s">
        <v>142</v>
      </c>
      <c r="E230" s="20" t="s">
        <v>143</v>
      </c>
      <c r="F230" s="20" t="s">
        <v>144</v>
      </c>
      <c r="G230" s="22">
        <v>5</v>
      </c>
      <c r="H230" s="23">
        <v>12</v>
      </c>
      <c r="I230" s="23">
        <v>13</v>
      </c>
      <c r="J230" s="23" t="s">
        <v>458</v>
      </c>
      <c r="K230" s="12"/>
      <c r="L230" s="12"/>
      <c r="M230" s="2"/>
      <c r="N230" s="2"/>
    </row>
    <row r="231" spans="1:14">
      <c r="A231" s="26"/>
      <c r="B231" s="109" t="s">
        <v>3</v>
      </c>
      <c r="C231" s="20" t="s">
        <v>152</v>
      </c>
      <c r="D231" s="20" t="s">
        <v>153</v>
      </c>
      <c r="E231" s="20" t="s">
        <v>143</v>
      </c>
      <c r="F231" s="20" t="s">
        <v>144</v>
      </c>
      <c r="G231" s="22">
        <v>5</v>
      </c>
      <c r="H231" s="27"/>
      <c r="I231" s="27"/>
      <c r="J231" s="27"/>
      <c r="K231" s="12"/>
      <c r="L231" s="12"/>
      <c r="M231" s="2"/>
      <c r="N231" s="2"/>
    </row>
    <row r="232" spans="1:14">
      <c r="A232" s="21" t="s">
        <v>499</v>
      </c>
      <c r="B232" s="109" t="s">
        <v>3</v>
      </c>
      <c r="C232" s="20" t="s">
        <v>146</v>
      </c>
      <c r="D232" s="20" t="s">
        <v>147</v>
      </c>
      <c r="E232" s="20" t="s">
        <v>143</v>
      </c>
      <c r="F232" s="20" t="s">
        <v>144</v>
      </c>
      <c r="G232" s="22">
        <v>5</v>
      </c>
      <c r="H232" s="23">
        <v>12</v>
      </c>
      <c r="I232" s="23">
        <v>13</v>
      </c>
      <c r="J232" s="23" t="s">
        <v>458</v>
      </c>
      <c r="K232" s="12"/>
      <c r="L232" s="12"/>
      <c r="M232" s="2"/>
      <c r="N232" s="2"/>
    </row>
    <row r="233" spans="1:14">
      <c r="A233" s="26"/>
      <c r="B233" s="109" t="s">
        <v>3</v>
      </c>
      <c r="C233" s="20" t="s">
        <v>150</v>
      </c>
      <c r="D233" s="20" t="s">
        <v>151</v>
      </c>
      <c r="E233" s="20" t="s">
        <v>143</v>
      </c>
      <c r="F233" s="20" t="s">
        <v>144</v>
      </c>
      <c r="G233" s="22">
        <v>1</v>
      </c>
      <c r="H233" s="27"/>
      <c r="I233" s="27"/>
      <c r="J233" s="27"/>
      <c r="K233" s="12"/>
      <c r="L233" s="12"/>
      <c r="M233" s="2"/>
      <c r="N233" s="2"/>
    </row>
    <row r="234" spans="1:14">
      <c r="A234" s="21" t="s">
        <v>457</v>
      </c>
      <c r="B234" s="109" t="s">
        <v>3</v>
      </c>
      <c r="C234" s="20" t="s">
        <v>296</v>
      </c>
      <c r="D234" s="20" t="s">
        <v>297</v>
      </c>
      <c r="E234" s="20" t="s">
        <v>276</v>
      </c>
      <c r="F234" s="20" t="s">
        <v>289</v>
      </c>
      <c r="G234" s="22">
        <v>3</v>
      </c>
      <c r="H234" s="23">
        <v>12</v>
      </c>
      <c r="I234" s="23">
        <v>13</v>
      </c>
      <c r="J234" s="23" t="s">
        <v>458</v>
      </c>
      <c r="K234" s="12"/>
      <c r="L234" s="12"/>
      <c r="M234" s="2"/>
      <c r="N234" s="2"/>
    </row>
    <row r="235" spans="1:14">
      <c r="A235" s="24"/>
      <c r="B235" s="109" t="s">
        <v>3</v>
      </c>
      <c r="C235" s="20" t="s">
        <v>290</v>
      </c>
      <c r="D235" s="20" t="s">
        <v>291</v>
      </c>
      <c r="E235" s="20" t="s">
        <v>276</v>
      </c>
      <c r="F235" s="20" t="s">
        <v>289</v>
      </c>
      <c r="G235" s="22">
        <v>4</v>
      </c>
      <c r="H235" s="25"/>
      <c r="I235" s="25"/>
      <c r="J235" s="25"/>
      <c r="K235" s="12"/>
      <c r="L235" s="12"/>
      <c r="M235" s="2"/>
      <c r="N235" s="2"/>
    </row>
    <row r="236" spans="1:14">
      <c r="A236" s="26"/>
      <c r="B236" s="109" t="s">
        <v>3</v>
      </c>
      <c r="C236" s="20" t="s">
        <v>294</v>
      </c>
      <c r="D236" s="20" t="s">
        <v>295</v>
      </c>
      <c r="E236" s="20" t="s">
        <v>276</v>
      </c>
      <c r="F236" s="20" t="s">
        <v>289</v>
      </c>
      <c r="G236" s="22">
        <v>6</v>
      </c>
      <c r="H236" s="27"/>
      <c r="I236" s="27"/>
      <c r="J236" s="27"/>
      <c r="K236" s="12"/>
      <c r="L236" s="12"/>
      <c r="M236" s="2"/>
      <c r="N236" s="2"/>
    </row>
    <row r="237" spans="1:14">
      <c r="A237" s="19" t="s">
        <v>459</v>
      </c>
      <c r="B237" s="109" t="s">
        <v>3</v>
      </c>
      <c r="C237" s="20" t="s">
        <v>292</v>
      </c>
      <c r="D237" s="20" t="s">
        <v>293</v>
      </c>
      <c r="E237" s="20" t="s">
        <v>276</v>
      </c>
      <c r="F237" s="20" t="s">
        <v>289</v>
      </c>
      <c r="G237" s="22">
        <v>11</v>
      </c>
      <c r="H237" s="28">
        <v>12</v>
      </c>
      <c r="I237" s="28">
        <v>13</v>
      </c>
      <c r="J237" s="19" t="s">
        <v>458</v>
      </c>
      <c r="K237" s="12"/>
      <c r="L237" s="12"/>
      <c r="M237" s="2"/>
      <c r="N237" s="2"/>
    </row>
    <row r="238" spans="1:14">
      <c r="A238" s="19" t="s">
        <v>460</v>
      </c>
      <c r="B238" s="109" t="s">
        <v>3</v>
      </c>
      <c r="C238" s="20" t="s">
        <v>290</v>
      </c>
      <c r="D238" s="20" t="s">
        <v>291</v>
      </c>
      <c r="E238" s="20" t="s">
        <v>276</v>
      </c>
      <c r="F238" s="20" t="s">
        <v>289</v>
      </c>
      <c r="G238" s="22">
        <v>12</v>
      </c>
      <c r="H238" s="28">
        <v>12</v>
      </c>
      <c r="I238" s="28">
        <v>13</v>
      </c>
      <c r="J238" s="19" t="s">
        <v>458</v>
      </c>
      <c r="K238" s="12"/>
      <c r="L238" s="12"/>
      <c r="M238" s="2"/>
      <c r="N238" s="2"/>
    </row>
    <row r="239" spans="1:14">
      <c r="A239" s="19" t="s">
        <v>461</v>
      </c>
      <c r="B239" s="109" t="s">
        <v>3</v>
      </c>
      <c r="C239" s="20" t="s">
        <v>287</v>
      </c>
      <c r="D239" s="20" t="s">
        <v>288</v>
      </c>
      <c r="E239" s="20" t="s">
        <v>276</v>
      </c>
      <c r="F239" s="20" t="s">
        <v>289</v>
      </c>
      <c r="G239" s="22">
        <v>12</v>
      </c>
      <c r="H239" s="28">
        <v>12</v>
      </c>
      <c r="I239" s="28">
        <v>13</v>
      </c>
      <c r="J239" s="19" t="s">
        <v>458</v>
      </c>
      <c r="K239" s="12"/>
      <c r="L239" s="12"/>
      <c r="M239" s="2"/>
      <c r="N239" s="2"/>
    </row>
    <row r="240" spans="1:14">
      <c r="A240" s="21" t="s">
        <v>462</v>
      </c>
      <c r="B240" s="109" t="s">
        <v>3</v>
      </c>
      <c r="C240" s="20" t="s">
        <v>285</v>
      </c>
      <c r="D240" s="20" t="s">
        <v>286</v>
      </c>
      <c r="E240" s="20" t="s">
        <v>276</v>
      </c>
      <c r="F240" s="20" t="s">
        <v>277</v>
      </c>
      <c r="G240" s="22">
        <v>4</v>
      </c>
      <c r="H240" s="23">
        <v>12</v>
      </c>
      <c r="I240" s="23">
        <v>13</v>
      </c>
      <c r="J240" s="23" t="s">
        <v>458</v>
      </c>
      <c r="K240" s="12"/>
      <c r="L240" s="12"/>
      <c r="M240" s="2"/>
      <c r="N240" s="2"/>
    </row>
    <row r="241" spans="1:14">
      <c r="A241" s="26"/>
      <c r="B241" s="109" t="s">
        <v>3</v>
      </c>
      <c r="C241" s="20" t="s">
        <v>283</v>
      </c>
      <c r="D241" s="20" t="s">
        <v>284</v>
      </c>
      <c r="E241" s="20" t="s">
        <v>276</v>
      </c>
      <c r="F241" s="20" t="s">
        <v>277</v>
      </c>
      <c r="G241" s="22">
        <v>8</v>
      </c>
      <c r="H241" s="27"/>
      <c r="I241" s="27"/>
      <c r="J241" s="27"/>
      <c r="K241" s="12"/>
      <c r="L241" s="12"/>
      <c r="M241" s="2"/>
      <c r="N241" s="2"/>
    </row>
    <row r="242" spans="1:14">
      <c r="A242" s="19" t="s">
        <v>463</v>
      </c>
      <c r="B242" s="109" t="s">
        <v>3</v>
      </c>
      <c r="C242" s="20" t="s">
        <v>281</v>
      </c>
      <c r="D242" s="20" t="s">
        <v>282</v>
      </c>
      <c r="E242" s="20" t="s">
        <v>276</v>
      </c>
      <c r="F242" s="20" t="s">
        <v>277</v>
      </c>
      <c r="G242" s="22">
        <v>9</v>
      </c>
      <c r="H242" s="28">
        <v>12</v>
      </c>
      <c r="I242" s="28">
        <v>13</v>
      </c>
      <c r="J242" s="19" t="s">
        <v>458</v>
      </c>
      <c r="K242" s="12"/>
      <c r="L242" s="12"/>
      <c r="M242" s="2"/>
      <c r="N242" s="2"/>
    </row>
    <row r="243" spans="1:14">
      <c r="A243" s="21" t="s">
        <v>464</v>
      </c>
      <c r="B243" s="109" t="s">
        <v>3</v>
      </c>
      <c r="C243" s="20" t="s">
        <v>281</v>
      </c>
      <c r="D243" s="20" t="s">
        <v>282</v>
      </c>
      <c r="E243" s="20" t="s">
        <v>276</v>
      </c>
      <c r="F243" s="20" t="s">
        <v>277</v>
      </c>
      <c r="G243" s="22">
        <v>9</v>
      </c>
      <c r="H243" s="23">
        <v>12</v>
      </c>
      <c r="I243" s="23">
        <v>13</v>
      </c>
      <c r="J243" s="23" t="s">
        <v>458</v>
      </c>
      <c r="K243" s="12"/>
      <c r="L243" s="12"/>
      <c r="M243" s="2"/>
      <c r="N243" s="2"/>
    </row>
    <row r="244" spans="1:14">
      <c r="A244" s="26"/>
      <c r="B244" s="109" t="s">
        <v>3</v>
      </c>
      <c r="C244" s="20" t="s">
        <v>274</v>
      </c>
      <c r="D244" s="20" t="s">
        <v>275</v>
      </c>
      <c r="E244" s="20" t="s">
        <v>276</v>
      </c>
      <c r="F244" s="20" t="s">
        <v>277</v>
      </c>
      <c r="G244" s="22">
        <v>3</v>
      </c>
      <c r="H244" s="27"/>
      <c r="I244" s="27"/>
      <c r="J244" s="27"/>
      <c r="K244" s="12"/>
      <c r="L244" s="12"/>
      <c r="M244" s="2"/>
      <c r="N244" s="2"/>
    </row>
    <row r="245" spans="1:14">
      <c r="A245" s="19" t="s">
        <v>465</v>
      </c>
      <c r="B245" s="109" t="s">
        <v>3</v>
      </c>
      <c r="C245" s="20" t="s">
        <v>279</v>
      </c>
      <c r="D245" s="20" t="s">
        <v>280</v>
      </c>
      <c r="E245" s="20" t="s">
        <v>276</v>
      </c>
      <c r="F245" s="20" t="s">
        <v>277</v>
      </c>
      <c r="G245" s="22">
        <v>10</v>
      </c>
      <c r="H245" s="28">
        <v>12</v>
      </c>
      <c r="I245" s="28">
        <v>13</v>
      </c>
      <c r="J245" s="19" t="s">
        <v>458</v>
      </c>
      <c r="K245" s="12"/>
      <c r="L245" s="12"/>
      <c r="M245" s="2"/>
      <c r="N245" s="2"/>
    </row>
    <row r="246" spans="1:14">
      <c r="A246" s="21" t="s">
        <v>466</v>
      </c>
      <c r="B246" s="109" t="s">
        <v>3</v>
      </c>
      <c r="C246" s="20" t="s">
        <v>285</v>
      </c>
      <c r="D246" s="20" t="s">
        <v>286</v>
      </c>
      <c r="E246" s="20" t="s">
        <v>276</v>
      </c>
      <c r="F246" s="20" t="s">
        <v>277</v>
      </c>
      <c r="G246" s="22">
        <v>2</v>
      </c>
      <c r="H246" s="23">
        <v>12</v>
      </c>
      <c r="I246" s="23">
        <v>13</v>
      </c>
      <c r="J246" s="23" t="s">
        <v>458</v>
      </c>
      <c r="K246" s="12"/>
      <c r="L246" s="12"/>
      <c r="M246" s="2"/>
      <c r="N246" s="2"/>
    </row>
    <row r="247" spans="1:14">
      <c r="A247" s="26"/>
      <c r="B247" s="109" t="s">
        <v>3</v>
      </c>
      <c r="C247" s="20" t="s">
        <v>279</v>
      </c>
      <c r="D247" s="20" t="s">
        <v>280</v>
      </c>
      <c r="E247" s="20" t="s">
        <v>276</v>
      </c>
      <c r="F247" s="20" t="s">
        <v>277</v>
      </c>
      <c r="G247" s="22">
        <v>10</v>
      </c>
      <c r="H247" s="27"/>
      <c r="I247" s="27"/>
      <c r="J247" s="27"/>
      <c r="K247" s="12"/>
      <c r="L247" s="12"/>
      <c r="M247" s="2"/>
      <c r="N247" s="2"/>
    </row>
    <row r="248" spans="1:14">
      <c r="A248" s="19" t="s">
        <v>467</v>
      </c>
      <c r="B248" s="109" t="s">
        <v>3</v>
      </c>
      <c r="C248" s="20" t="s">
        <v>274</v>
      </c>
      <c r="D248" s="20" t="s">
        <v>275</v>
      </c>
      <c r="E248" s="20" t="s">
        <v>276</v>
      </c>
      <c r="F248" s="20" t="s">
        <v>277</v>
      </c>
      <c r="G248" s="22">
        <v>12</v>
      </c>
      <c r="H248" s="28">
        <v>12</v>
      </c>
      <c r="I248" s="28">
        <v>13</v>
      </c>
      <c r="J248" s="19" t="s">
        <v>458</v>
      </c>
      <c r="K248" s="12"/>
      <c r="L248" s="12"/>
      <c r="M248" s="2"/>
      <c r="N248" s="2"/>
    </row>
    <row r="249" spans="1:14">
      <c r="A249" s="26"/>
      <c r="B249" s="19"/>
      <c r="C249" s="20"/>
      <c r="D249" s="20"/>
      <c r="E249" s="20"/>
      <c r="F249" s="29"/>
      <c r="G249" s="19"/>
      <c r="H249" s="27"/>
      <c r="I249" s="27"/>
      <c r="J249" s="26"/>
      <c r="K249" s="12"/>
      <c r="L249" s="12"/>
      <c r="M249" s="2"/>
      <c r="N249" s="2"/>
    </row>
    <row r="250" spans="1:14">
      <c r="A250" s="26"/>
      <c r="B250" s="19"/>
      <c r="C250" s="20"/>
      <c r="D250" s="20"/>
      <c r="E250" s="20"/>
      <c r="F250" s="20"/>
      <c r="G250" s="19"/>
      <c r="H250" s="27"/>
      <c r="I250" s="27"/>
      <c r="J250" s="27"/>
      <c r="K250" s="12"/>
      <c r="L250" s="12"/>
      <c r="M250" s="2"/>
      <c r="N250" s="2"/>
    </row>
    <row r="251" spans="1:14">
      <c r="A251" s="20"/>
      <c r="B251" s="19"/>
      <c r="C251" s="20"/>
      <c r="D251" s="20"/>
      <c r="E251" s="20"/>
      <c r="F251" s="29"/>
      <c r="G251" s="19"/>
      <c r="H251" s="28"/>
      <c r="I251" s="28"/>
      <c r="J251" s="19"/>
      <c r="K251" s="12"/>
      <c r="L251" s="12"/>
      <c r="M251" s="2"/>
      <c r="N251" s="2"/>
    </row>
    <row r="252" spans="1:14">
      <c r="A252" s="20"/>
      <c r="B252" s="19"/>
      <c r="C252" s="19"/>
      <c r="D252" s="19"/>
      <c r="E252" s="19"/>
      <c r="F252" s="19"/>
      <c r="G252" s="19"/>
      <c r="H252" s="28"/>
      <c r="I252" s="28"/>
      <c r="J252" s="19"/>
      <c r="K252" s="12"/>
      <c r="L252" s="12"/>
      <c r="M252" s="2"/>
      <c r="N252" s="2"/>
    </row>
    <row r="253" spans="1:14">
      <c r="A253" s="20" t="s">
        <v>503</v>
      </c>
      <c r="B253" s="19"/>
      <c r="C253" s="19"/>
      <c r="D253" s="19"/>
      <c r="E253" s="19"/>
      <c r="F253" s="19"/>
      <c r="G253" s="19">
        <f>SUM(G13:G252)</f>
        <v>1437</v>
      </c>
      <c r="H253" s="28">
        <f>SUM(H13:H249)</f>
        <v>1119</v>
      </c>
      <c r="I253" s="28">
        <f>SUM(I13:I249)</f>
        <v>1216</v>
      </c>
      <c r="J253" s="19" t="s">
        <v>504</v>
      </c>
      <c r="K253" s="12"/>
      <c r="L253" s="12"/>
      <c r="M253" s="2"/>
      <c r="N253" s="2"/>
    </row>
    <row r="254" spans="1:14">
      <c r="A254" s="18"/>
      <c r="B254" s="12"/>
      <c r="C254" s="12"/>
      <c r="D254" s="12"/>
      <c r="E254" s="12"/>
      <c r="F254" s="12"/>
      <c r="G254" s="12"/>
      <c r="H254" s="28"/>
      <c r="I254" s="28"/>
      <c r="J254" s="19"/>
      <c r="K254" s="12"/>
      <c r="L254" s="12"/>
      <c r="M254" s="2"/>
      <c r="N254" s="2"/>
    </row>
    <row r="255" spans="1:14">
      <c r="A255" s="30" t="s">
        <v>505</v>
      </c>
      <c r="B255" s="31"/>
      <c r="C255" s="32" t="s">
        <v>506</v>
      </c>
      <c r="D255" s="32" t="s">
        <v>507</v>
      </c>
      <c r="E255" s="32" t="s">
        <v>508</v>
      </c>
      <c r="F255" s="32" t="s">
        <v>509</v>
      </c>
      <c r="G255" s="32" t="s">
        <v>510</v>
      </c>
      <c r="H255" s="28" t="s">
        <v>511</v>
      </c>
      <c r="I255" s="28" t="s">
        <v>512</v>
      </c>
      <c r="J255" s="19" t="s">
        <v>513</v>
      </c>
      <c r="K255" s="32" t="s">
        <v>514</v>
      </c>
      <c r="L255" s="33" t="s">
        <v>515</v>
      </c>
      <c r="M255" s="2"/>
      <c r="N255" s="2"/>
    </row>
    <row r="256" spans="1:14">
      <c r="A256" s="30"/>
      <c r="B256" s="31"/>
      <c r="C256" s="32">
        <v>24</v>
      </c>
      <c r="D256" s="32">
        <v>25</v>
      </c>
      <c r="E256" s="32">
        <v>26</v>
      </c>
      <c r="F256" s="32">
        <v>27</v>
      </c>
      <c r="G256" s="32">
        <v>28</v>
      </c>
      <c r="H256" s="32">
        <v>29</v>
      </c>
      <c r="I256" s="32">
        <v>30</v>
      </c>
      <c r="J256" s="32"/>
      <c r="K256" s="32">
        <v>34</v>
      </c>
      <c r="L256" s="34"/>
      <c r="M256" s="2"/>
      <c r="N256" s="2"/>
    </row>
    <row r="257" spans="1:14">
      <c r="A257" s="30"/>
      <c r="B257" s="31"/>
      <c r="C257" s="32">
        <v>30</v>
      </c>
      <c r="D257" s="32">
        <v>31</v>
      </c>
      <c r="E257" s="32">
        <v>32</v>
      </c>
      <c r="F257" s="32">
        <v>33</v>
      </c>
      <c r="G257" s="32">
        <v>34</v>
      </c>
      <c r="H257" s="32">
        <v>36</v>
      </c>
      <c r="I257" s="32">
        <v>38</v>
      </c>
      <c r="J257" s="32"/>
      <c r="K257" s="32" t="s">
        <v>516</v>
      </c>
      <c r="L257" s="35"/>
      <c r="M257" s="2"/>
      <c r="N257" s="2"/>
    </row>
    <row r="258" spans="1:14">
      <c r="A258" s="36" t="s">
        <v>517</v>
      </c>
      <c r="B258" s="37" t="s">
        <v>518</v>
      </c>
      <c r="C258" s="38">
        <v>53</v>
      </c>
      <c r="D258" s="38">
        <v>198</v>
      </c>
      <c r="E258" s="38">
        <v>378</v>
      </c>
      <c r="F258" s="38">
        <v>442</v>
      </c>
      <c r="G258" s="38">
        <v>292</v>
      </c>
      <c r="H258" s="38">
        <v>74</v>
      </c>
      <c r="I258" s="38">
        <v>0</v>
      </c>
      <c r="J258" s="38">
        <v>0</v>
      </c>
      <c r="K258" s="38">
        <v>0</v>
      </c>
      <c r="L258" s="38">
        <f>C258+D258+E258+F258+G258+H258+J258</f>
        <v>1437</v>
      </c>
      <c r="M258" s="2"/>
      <c r="N258" s="2"/>
    </row>
    <row r="259" spans="1:14">
      <c r="A259" s="39"/>
      <c r="B259" s="37" t="s">
        <v>518</v>
      </c>
      <c r="C259" s="38">
        <v>0</v>
      </c>
      <c r="D259" s="38">
        <v>0</v>
      </c>
      <c r="E259" s="38">
        <v>0</v>
      </c>
      <c r="F259" s="38">
        <v>0</v>
      </c>
      <c r="G259" s="38">
        <v>0</v>
      </c>
      <c r="H259" s="38">
        <v>0</v>
      </c>
      <c r="I259" s="38">
        <v>0</v>
      </c>
      <c r="J259" s="38">
        <v>0</v>
      </c>
      <c r="K259" s="38">
        <v>0</v>
      </c>
      <c r="L259" s="38"/>
      <c r="M259" s="2"/>
      <c r="N259" s="2"/>
    </row>
    <row r="260" spans="1:14">
      <c r="A260" s="40" t="s">
        <v>519</v>
      </c>
      <c r="B260" s="41"/>
      <c r="C260" s="38">
        <f t="shared" ref="C260:I260" si="0">SUM(C258:C259)</f>
        <v>53</v>
      </c>
      <c r="D260" s="38">
        <f>SUBTOTAL(9,D258:D259)</f>
        <v>198</v>
      </c>
      <c r="E260" s="38">
        <f t="shared" si="0"/>
        <v>378</v>
      </c>
      <c r="F260" s="38">
        <f t="shared" si="0"/>
        <v>442</v>
      </c>
      <c r="G260" s="38">
        <f t="shared" si="0"/>
        <v>292</v>
      </c>
      <c r="H260" s="38">
        <f t="shared" si="0"/>
        <v>74</v>
      </c>
      <c r="I260" s="38">
        <f t="shared" si="0"/>
        <v>0</v>
      </c>
      <c r="J260" s="38">
        <f>SUBTOTAL(9,J258:J259)</f>
        <v>0</v>
      </c>
      <c r="K260" s="38">
        <v>0</v>
      </c>
      <c r="L260" s="38">
        <f>D260+E260+F260+G260+H260+I260+C260+J260</f>
        <v>1437</v>
      </c>
      <c r="M260" s="2"/>
      <c r="N260" s="2"/>
    </row>
    <row r="261" spans="1:14">
      <c r="A261" s="42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2"/>
      <c r="N261" s="2"/>
    </row>
    <row r="262" spans="1:14">
      <c r="A262" s="42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2"/>
      <c r="N262" s="2"/>
    </row>
    <row r="263" spans="1:14">
      <c r="A263" s="44" t="s">
        <v>520</v>
      </c>
      <c r="B263" s="45"/>
      <c r="C263" s="45"/>
      <c r="D263" s="44">
        <v>1437</v>
      </c>
      <c r="E263" s="43"/>
      <c r="F263" s="43"/>
      <c r="G263" s="43"/>
      <c r="H263" s="43"/>
      <c r="I263" s="43"/>
      <c r="J263" s="43"/>
      <c r="K263" s="43"/>
      <c r="L263" s="43"/>
      <c r="M263" s="2"/>
      <c r="N263" s="2"/>
    </row>
    <row r="264" spans="1:14">
      <c r="A264" s="44" t="s">
        <v>521</v>
      </c>
      <c r="B264" s="45"/>
      <c r="C264" s="45"/>
      <c r="D264" s="45" t="s">
        <v>522</v>
      </c>
      <c r="E264" s="43"/>
      <c r="F264" s="43"/>
      <c r="G264" s="43"/>
      <c r="H264" s="43"/>
      <c r="I264" s="43"/>
      <c r="J264" s="43"/>
      <c r="K264" s="43"/>
      <c r="L264" s="43"/>
      <c r="M264" s="2"/>
      <c r="N264" s="2"/>
    </row>
    <row r="265" spans="1:14">
      <c r="A265" s="44" t="s">
        <v>523</v>
      </c>
      <c r="B265" s="45"/>
      <c r="C265" s="45"/>
      <c r="D265" s="45" t="s">
        <v>524</v>
      </c>
      <c r="E265" s="43"/>
      <c r="F265" s="43"/>
      <c r="G265" s="43"/>
      <c r="H265" s="43"/>
      <c r="I265" s="43"/>
      <c r="J265" s="43"/>
      <c r="K265" s="43"/>
      <c r="L265" s="43"/>
      <c r="M265" s="2"/>
      <c r="N265" s="2"/>
    </row>
    <row r="266" spans="1:14">
      <c r="A266" s="44" t="s">
        <v>525</v>
      </c>
      <c r="B266" s="45"/>
      <c r="C266" s="45"/>
      <c r="D266" s="45" t="s">
        <v>526</v>
      </c>
      <c r="E266" s="43"/>
      <c r="F266" s="43"/>
      <c r="G266" s="43"/>
      <c r="H266" s="43"/>
      <c r="I266" s="43"/>
      <c r="J266" s="43"/>
      <c r="K266" s="43"/>
      <c r="L266" s="43"/>
      <c r="M266" s="2"/>
      <c r="N266" s="2"/>
    </row>
    <row r="267" spans="1:14">
      <c r="A267" s="44" t="s">
        <v>527</v>
      </c>
      <c r="B267" s="45"/>
      <c r="C267" s="45"/>
      <c r="D267" s="45" t="s">
        <v>528</v>
      </c>
      <c r="E267" s="43"/>
      <c r="F267" s="43"/>
      <c r="G267" s="43"/>
      <c r="H267" s="43"/>
      <c r="I267" s="43"/>
      <c r="J267" s="43"/>
      <c r="K267" s="43"/>
      <c r="L267" s="43"/>
      <c r="M267" s="2"/>
      <c r="N267" s="2"/>
    </row>
    <row r="268" spans="1:14">
      <c r="A268" s="42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2"/>
      <c r="N268" s="2"/>
    </row>
    <row r="269" spans="1:14">
      <c r="A269" s="1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</sheetData>
  <autoFilter xmlns:etc="http://www.wps.cn/officeDocument/2017/etCustomData" ref="A12:N248" etc:filterBottomFollowUsedRange="0">
    <extLst/>
  </autoFilter>
  <mergeCells count="144">
    <mergeCell ref="A1:L1"/>
    <mergeCell ref="A2:L2"/>
    <mergeCell ref="A3:L3"/>
    <mergeCell ref="A4:L4"/>
    <mergeCell ref="A260:B260"/>
    <mergeCell ref="A13:A25"/>
    <mergeCell ref="A26:A27"/>
    <mergeCell ref="A28:A30"/>
    <mergeCell ref="A31:A34"/>
    <mergeCell ref="A42:A45"/>
    <mergeCell ref="A46:A51"/>
    <mergeCell ref="A52:A56"/>
    <mergeCell ref="A57:A64"/>
    <mergeCell ref="A74:A75"/>
    <mergeCell ref="A76:A81"/>
    <mergeCell ref="A82:A88"/>
    <mergeCell ref="A89:A98"/>
    <mergeCell ref="A99:A103"/>
    <mergeCell ref="A107:A110"/>
    <mergeCell ref="A111:A118"/>
    <mergeCell ref="A119:A127"/>
    <mergeCell ref="A128:A132"/>
    <mergeCell ref="A133:A135"/>
    <mergeCell ref="A136:A138"/>
    <mergeCell ref="A139:A147"/>
    <mergeCell ref="A148:A152"/>
    <mergeCell ref="A153:A156"/>
    <mergeCell ref="A157:A158"/>
    <mergeCell ref="A159:A166"/>
    <mergeCell ref="A167:A173"/>
    <mergeCell ref="A174:A179"/>
    <mergeCell ref="A206:A215"/>
    <mergeCell ref="A216:A217"/>
    <mergeCell ref="A230:A231"/>
    <mergeCell ref="A232:A233"/>
    <mergeCell ref="A234:A236"/>
    <mergeCell ref="A240:A241"/>
    <mergeCell ref="A243:A244"/>
    <mergeCell ref="A246:A247"/>
    <mergeCell ref="A258:A259"/>
    <mergeCell ref="H13:H25"/>
    <mergeCell ref="H26:H27"/>
    <mergeCell ref="H28:H30"/>
    <mergeCell ref="H31:H34"/>
    <mergeCell ref="H42:H45"/>
    <mergeCell ref="H46:H51"/>
    <mergeCell ref="H52:H56"/>
    <mergeCell ref="H57:H64"/>
    <mergeCell ref="H74:H75"/>
    <mergeCell ref="H76:H81"/>
    <mergeCell ref="H82:H88"/>
    <mergeCell ref="H89:H98"/>
    <mergeCell ref="H99:H103"/>
    <mergeCell ref="H107:H110"/>
    <mergeCell ref="H111:H118"/>
    <mergeCell ref="H119:H127"/>
    <mergeCell ref="H128:H132"/>
    <mergeCell ref="H133:H135"/>
    <mergeCell ref="H136:H138"/>
    <mergeCell ref="H139:H147"/>
    <mergeCell ref="H148:H152"/>
    <mergeCell ref="H153:H156"/>
    <mergeCell ref="H157:H158"/>
    <mergeCell ref="H159:H166"/>
    <mergeCell ref="H167:H173"/>
    <mergeCell ref="H174:H179"/>
    <mergeCell ref="H206:H215"/>
    <mergeCell ref="H216:H217"/>
    <mergeCell ref="H230:H231"/>
    <mergeCell ref="H232:H233"/>
    <mergeCell ref="H234:H236"/>
    <mergeCell ref="H240:H241"/>
    <mergeCell ref="H243:H244"/>
    <mergeCell ref="H246:H247"/>
    <mergeCell ref="I13:I25"/>
    <mergeCell ref="I26:I27"/>
    <mergeCell ref="I28:I30"/>
    <mergeCell ref="I31:I34"/>
    <mergeCell ref="I42:I45"/>
    <mergeCell ref="I46:I51"/>
    <mergeCell ref="I52:I56"/>
    <mergeCell ref="I57:I64"/>
    <mergeCell ref="I74:I75"/>
    <mergeCell ref="I76:I81"/>
    <mergeCell ref="I82:I88"/>
    <mergeCell ref="I89:I98"/>
    <mergeCell ref="I99:I103"/>
    <mergeCell ref="I107:I110"/>
    <mergeCell ref="I111:I118"/>
    <mergeCell ref="I119:I127"/>
    <mergeCell ref="I128:I132"/>
    <mergeCell ref="I133:I135"/>
    <mergeCell ref="I136:I138"/>
    <mergeCell ref="I139:I147"/>
    <mergeCell ref="I148:I152"/>
    <mergeCell ref="I153:I156"/>
    <mergeCell ref="I157:I158"/>
    <mergeCell ref="I159:I166"/>
    <mergeCell ref="I167:I173"/>
    <mergeCell ref="I174:I179"/>
    <mergeCell ref="I206:I215"/>
    <mergeCell ref="I216:I217"/>
    <mergeCell ref="I230:I231"/>
    <mergeCell ref="I232:I233"/>
    <mergeCell ref="I234:I236"/>
    <mergeCell ref="I240:I241"/>
    <mergeCell ref="I243:I244"/>
    <mergeCell ref="I246:I247"/>
    <mergeCell ref="J13:J25"/>
    <mergeCell ref="J26:J27"/>
    <mergeCell ref="J28:J30"/>
    <mergeCell ref="J31:J34"/>
    <mergeCell ref="J42:J45"/>
    <mergeCell ref="J46:J51"/>
    <mergeCell ref="J52:J56"/>
    <mergeCell ref="J57:J64"/>
    <mergeCell ref="J74:J75"/>
    <mergeCell ref="J76:J81"/>
    <mergeCell ref="J82:J88"/>
    <mergeCell ref="J89:J98"/>
    <mergeCell ref="J99:J103"/>
    <mergeCell ref="J107:J110"/>
    <mergeCell ref="J111:J118"/>
    <mergeCell ref="J119:J127"/>
    <mergeCell ref="J128:J132"/>
    <mergeCell ref="J133:J135"/>
    <mergeCell ref="J136:J138"/>
    <mergeCell ref="J139:J147"/>
    <mergeCell ref="J148:J152"/>
    <mergeCell ref="J153:J156"/>
    <mergeCell ref="J157:J158"/>
    <mergeCell ref="J159:J166"/>
    <mergeCell ref="J167:J173"/>
    <mergeCell ref="J174:J179"/>
    <mergeCell ref="J206:J215"/>
    <mergeCell ref="J216:J217"/>
    <mergeCell ref="J230:J231"/>
    <mergeCell ref="J232:J233"/>
    <mergeCell ref="J234:J236"/>
    <mergeCell ref="J240:J241"/>
    <mergeCell ref="J243:J244"/>
    <mergeCell ref="J246:J247"/>
    <mergeCell ref="L255:L257"/>
    <mergeCell ref="A255:B257"/>
  </mergeCells>
  <pageMargins left="0.75" right="0.75" top="1" bottom="1" header="0.5" footer="0.5"/>
  <pageSetup paperSize="9" scale="60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Berger</dc:creator>
  <cp:lastModifiedBy>季娟</cp:lastModifiedBy>
  <dcterms:created xsi:type="dcterms:W3CDTF">2025-02-25T16:22:00Z</dcterms:created>
  <dcterms:modified xsi:type="dcterms:W3CDTF">2026-06-16T12:55:52Z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13169D5462AD4343A48415669F3D9076_12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