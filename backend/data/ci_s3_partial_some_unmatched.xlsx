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.le_tentree\Downloads\25026-p2-QuanLyHangDenKho-TuongLam-main\backend\data\"/>
    </mc:Choice>
  </mc:AlternateContent>
  <xr:revisionPtr revIDLastSave="0" documentId="13_ncr:1_{83FF8C96-42D6-456A-B1A8-62267D3DBE4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mmercial Invoic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D4" i="1"/>
  <c r="B4" i="1"/>
  <c r="E14" i="1"/>
  <c r="E15" i="1"/>
  <c r="E16" i="1"/>
  <c r="E17" i="1"/>
  <c r="E18" i="1"/>
  <c r="E12" i="1"/>
  <c r="E13" i="1"/>
  <c r="E11" i="1"/>
</calcChain>
</file>

<file path=xl/sharedStrings.xml><?xml version="1.0" encoding="utf-8"?>
<sst xmlns="http://schemas.openxmlformats.org/spreadsheetml/2006/main" count="82" uniqueCount="27">
  <si>
    <t>COMMERCIAL INVOICE</t>
  </si>
  <si>
    <t/>
  </si>
  <si>
    <t>Invoice No:</t>
  </si>
  <si>
    <t>CI-S3-PARTIAL-UNM-001</t>
  </si>
  <si>
    <t>Invoice Date:</t>
  </si>
  <si>
    <t>2026-04-15</t>
  </si>
  <si>
    <t>PO Shipping Summary</t>
  </si>
  <si>
    <t>SKU Code</t>
  </si>
  <si>
    <t>Description</t>
  </si>
  <si>
    <t>Qty</t>
  </si>
  <si>
    <t>Unit Price (USD)</t>
  </si>
  <si>
    <t>Total Price (USD)</t>
  </si>
  <si>
    <t>Weight (kg)</t>
  </si>
  <si>
    <t>CBM</t>
  </si>
  <si>
    <t>TEN7101-FGN-XS</t>
  </si>
  <si>
    <t>FW26 Fleece Jacket - Forest Green XS</t>
  </si>
  <si>
    <t>TEN7101-FGN-S</t>
  </si>
  <si>
    <t>FW26 Fleece Jacket - Forest Green S</t>
  </si>
  <si>
    <t>TEN7101-FGN-UNKNOWN</t>
  </si>
  <si>
    <t>FW26 Fleece Jacket - Forest Green UNKNOWN</t>
  </si>
  <si>
    <t>PO-FW26-003</t>
  </si>
  <si>
    <t>TEN7301-IDG-XS</t>
  </si>
  <si>
    <t>Hemp Denim Straight Pant Indigo</t>
  </si>
  <si>
    <t>TEN7301-IDG-S</t>
  </si>
  <si>
    <t>TEN7301-IDG-M</t>
  </si>
  <si>
    <t>TEN7301-IDG-L</t>
  </si>
  <si>
    <t>TEN7301-IDG-XL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</si>
</sst>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8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workbookViewId="0">
      <selection activeCell="A14" sqref="A14"/>
    </sheetView>
  </sheetViews>
  <sheetFormatPr defaultRowHeight="15.5" x14ac:dyDescent="0.35"/>
  <cols>
    <col min="1" max="1" width="22.33203125" bestFit="1" customWidth="1"/>
    <col min="2" max="2" width="38.83203125" bestFit="1" customWidth="1"/>
  </cols>
  <sheetData>
    <row r="1" spans="1:7" x14ac:dyDescent="0.35">
      <c r="A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</row>
    <row r="2" spans="1:7" x14ac:dyDescent="0.35">
      <c r="A2" t="s">
        <v>2</v>
      </c>
      <c r="B2" t="s">
        <v>3</v>
      </c>
      <c r="C2" t="s">
        <v>4</v>
      </c>
      <c r="D2" t="s">
        <v>5</v>
      </c>
      <c r="E2" t="s">
        <v>1</v>
      </c>
      <c r="F2" t="s">
        <v>1</v>
      </c>
      <c r="G2" t="s">
        <v>1</v>
      </c>
    </row>
    <row r="3" spans="1:7" x14ac:dyDescent="0.35">
      <c r="A3" t="s">
        <v>6</v>
      </c>
      <c r="B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</row>
    <row r="4" spans="1:7" x14ac:dyDescent="0.35">
      <c r="A4" t="s">
        <v>20</v>
      </c>
      <c r="B4">
        <f>SUM(C11:C18)</f>
        <v>8000</v>
      </c>
      <c r="C4">
        <v>190</v>
      </c>
      <c r="D4">
        <f>SUM(F11:F18)</f>
        <v>1520</v>
      </c>
      <c r="E4">
        <f>SUM(G11:G18)</f>
        <v>24.5</v>
      </c>
      <c r="F4" t="s">
        <v>1</v>
      </c>
      <c r="G4" t="s">
        <v>1</v>
      </c>
    </row>
    <row r="5" spans="1:7" x14ac:dyDescent="0.35">
      <c r="A5" t="s">
        <v>1</v>
      </c>
      <c r="B5" t="s">
        <v>1</v>
      </c>
      <c r="C5" t="s">
        <v>1</v>
      </c>
      <c r="D5" t="s">
        <v>1</v>
      </c>
      <c r="E5" t="s">
        <v>1</v>
      </c>
      <c r="F5" t="s">
        <v>1</v>
      </c>
      <c r="G5" t="s">
        <v>1</v>
      </c>
    </row>
    <row r="6" spans="1:7" x14ac:dyDescent="0.35">
      <c r="A6" t="s">
        <v>1</v>
      </c>
      <c r="B6" t="s">
        <v>1</v>
      </c>
      <c r="C6" t="s">
        <v>1</v>
      </c>
      <c r="D6" t="s">
        <v>1</v>
      </c>
      <c r="E6" t="s">
        <v>1</v>
      </c>
      <c r="F6" t="s">
        <v>1</v>
      </c>
      <c r="G6" t="s">
        <v>1</v>
      </c>
    </row>
    <row r="7" spans="1:7" x14ac:dyDescent="0.35">
      <c r="A7" t="s">
        <v>1</v>
      </c>
      <c r="B7" t="s">
        <v>1</v>
      </c>
      <c r="C7" t="s">
        <v>1</v>
      </c>
      <c r="D7" t="s">
        <v>1</v>
      </c>
      <c r="E7" t="s">
        <v>1</v>
      </c>
      <c r="F7" t="s">
        <v>1</v>
      </c>
      <c r="G7" t="s">
        <v>1</v>
      </c>
    </row>
    <row r="8" spans="1:7" x14ac:dyDescent="0.35">
      <c r="A8" t="s">
        <v>1</v>
      </c>
      <c r="B8" t="s">
        <v>1</v>
      </c>
      <c r="C8" t="s">
        <v>1</v>
      </c>
      <c r="D8" t="s">
        <v>1</v>
      </c>
      <c r="E8" t="s">
        <v>1</v>
      </c>
      <c r="F8" t="s">
        <v>1</v>
      </c>
      <c r="G8" t="s">
        <v>1</v>
      </c>
    </row>
    <row r="9" spans="1:7" x14ac:dyDescent="0.35">
      <c r="A9" t="s">
        <v>1</v>
      </c>
      <c r="B9" t="s">
        <v>1</v>
      </c>
      <c r="C9" t="s">
        <v>1</v>
      </c>
      <c r="D9" t="s">
        <v>1</v>
      </c>
      <c r="E9" t="s">
        <v>1</v>
      </c>
      <c r="F9" t="s">
        <v>1</v>
      </c>
      <c r="G9" t="s">
        <v>1</v>
      </c>
    </row>
    <row r="10" spans="1:7" x14ac:dyDescent="0.35">
      <c r="A10" t="s">
        <v>7</v>
      </c>
      <c r="B10" t="s">
        <v>8</v>
      </c>
      <c r="C10" t="s">
        <v>9</v>
      </c>
      <c r="D10" t="s">
        <v>10</v>
      </c>
      <c r="E10" t="s">
        <v>11</v>
      </c>
      <c r="F10" t="s">
        <v>12</v>
      </c>
      <c r="G10" t="s">
        <v>13</v>
      </c>
    </row>
    <row r="11" spans="1:7" x14ac:dyDescent="0.35">
      <c r="A11" t="s">
        <v>14</v>
      </c>
      <c r="B11" t="s">
        <v>15</v>
      </c>
      <c r="C11">
        <v>800</v>
      </c>
      <c r="D11">
        <v>16.5</v>
      </c>
      <c r="E11">
        <f>C11*D11</f>
        <v>13200</v>
      </c>
      <c r="F11">
        <v>160</v>
      </c>
      <c r="G11">
        <v>2</v>
      </c>
    </row>
    <row r="12" spans="1:7" x14ac:dyDescent="0.35">
      <c r="A12" t="s">
        <v>16</v>
      </c>
      <c r="B12" t="s">
        <v>17</v>
      </c>
      <c r="C12">
        <v>1400</v>
      </c>
      <c r="D12">
        <v>16.5</v>
      </c>
      <c r="E12">
        <f t="shared" ref="E12:E18" si="0">C12*D12</f>
        <v>23100</v>
      </c>
      <c r="F12">
        <v>280</v>
      </c>
      <c r="G12">
        <v>3.5</v>
      </c>
    </row>
    <row r="13" spans="1:7" x14ac:dyDescent="0.35">
      <c r="A13" t="s">
        <v>18</v>
      </c>
      <c r="B13" t="s">
        <v>19</v>
      </c>
      <c r="C13">
        <v>1600</v>
      </c>
      <c r="D13">
        <v>16.5</v>
      </c>
      <c r="E13">
        <f t="shared" si="0"/>
        <v>26400</v>
      </c>
      <c r="F13">
        <v>320</v>
      </c>
      <c r="G13">
        <v>4</v>
      </c>
    </row>
    <row r="14" spans="1:7" x14ac:dyDescent="0.35">
      <c r="A14" t="s">
        <v>21</v>
      </c>
      <c r="B14" t="s">
        <v>22</v>
      </c>
      <c r="C14">
        <v>400</v>
      </c>
      <c r="D14" s="1">
        <v>19.8</v>
      </c>
      <c r="E14">
        <f t="shared" si="0"/>
        <v>7920</v>
      </c>
      <c r="F14">
        <v>80</v>
      </c>
      <c r="G14">
        <v>2</v>
      </c>
    </row>
    <row r="15" spans="1:7" x14ac:dyDescent="0.35">
      <c r="A15" t="s">
        <v>23</v>
      </c>
      <c r="B15" t="s">
        <v>22</v>
      </c>
      <c r="C15">
        <v>800</v>
      </c>
      <c r="D15" s="1">
        <v>19.8</v>
      </c>
      <c r="E15">
        <f t="shared" si="0"/>
        <v>15840</v>
      </c>
      <c r="F15">
        <v>160</v>
      </c>
      <c r="G15">
        <v>3.5</v>
      </c>
    </row>
    <row r="16" spans="1:7" x14ac:dyDescent="0.35">
      <c r="A16" t="s">
        <v>24</v>
      </c>
      <c r="B16" t="s">
        <v>22</v>
      </c>
      <c r="C16" s="2">
        <v>1200</v>
      </c>
      <c r="D16" s="1">
        <v>19.8</v>
      </c>
      <c r="E16">
        <f t="shared" si="0"/>
        <v>23760</v>
      </c>
      <c r="F16">
        <v>200</v>
      </c>
      <c r="G16">
        <v>4</v>
      </c>
    </row>
    <row r="17" spans="1:7" x14ac:dyDescent="0.35">
      <c r="A17" t="s">
        <v>25</v>
      </c>
      <c r="B17" t="s">
        <v>22</v>
      </c>
      <c r="C17" s="2">
        <v>1200</v>
      </c>
      <c r="D17" s="1">
        <v>19.8</v>
      </c>
      <c r="E17">
        <f t="shared" si="0"/>
        <v>23760</v>
      </c>
      <c r="F17">
        <v>200</v>
      </c>
      <c r="G17">
        <v>2</v>
      </c>
    </row>
    <row r="18" spans="1:7" x14ac:dyDescent="0.35">
      <c r="A18" t="s">
        <v>26</v>
      </c>
      <c r="B18" t="s">
        <v>22</v>
      </c>
      <c r="C18">
        <v>600</v>
      </c>
      <c r="D18" s="1">
        <v>19.8</v>
      </c>
      <c r="E18">
        <f t="shared" si="0"/>
        <v>11880</v>
      </c>
      <c r="F18">
        <v>120</v>
      </c>
      <c r="G18">
        <v>3.5</v>
      </c>
    </row>
  </sheetData>
  <pageMargins left="0.7" right="0.7" top="0.75" bottom="0.75" header="0.3" footer="0.3"/>
  <ignoredErrors>
    <ignoredError sqref="A1:G3 A5:G10 C4 A12:D13 A11:D11 F11:G11 F12:G13 F4:G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Commercial Invoice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Lam Le</cp:lastModifiedBy>
  <dcterms:modified xsi:type="dcterms:W3CDTF">2026-05-11T19:00:37Z</dcterms:modified>
</cp:coreProperties>
</file>