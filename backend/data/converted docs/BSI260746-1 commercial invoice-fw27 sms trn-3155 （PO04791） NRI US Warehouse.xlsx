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O4791 NRI US Warehouse" sheetId="1" r:id="rId1"/>
  </sheets>
  <definedNames>
    <definedName name="_xlnm.Print_Area" localSheetId="0">'PO4791 NRI US Warehouse'!$A$1:$N$75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<sst xmlns="http://schemas.openxmlformats.org/spreadsheetml/2006/main" count="258" uniqueCount="180">
  <si>
    <t>毕世达服饰有限公司</t>
  </si>
  <si>
    <t>BEST STAR FASHIONS CO LIMITED</t>
  </si>
  <si>
    <t>ROOM 1105, BUILDING 4, AIJIA INTERNATIONAL MANSION, NO. 288, WUHUA ROAD, SHANGHAI, CHINA</t>
  </si>
  <si>
    <t>TEL: 0086-21-62885798                                            FAX: 0086-21-62885796</t>
  </si>
  <si>
    <t>COMMERCIAL INVOICE</t>
  </si>
  <si>
    <t>TO:</t>
  </si>
  <si>
    <t>TENTREE HEAD OFFICE</t>
  </si>
  <si>
    <t xml:space="preserve">          Inv.NO:</t>
  </si>
  <si>
    <t>BSI260746-1</t>
  </si>
  <si>
    <t>SHIP TO</t>
  </si>
  <si>
    <t>tentree c/o NRI Distribution Inc.</t>
  </si>
  <si>
    <t>NRI DISTRIBUTION INC.</t>
  </si>
  <si>
    <t>LH BUILDING 9988 REDWOOD AVENUE</t>
  </si>
  <si>
    <t xml:space="preserve">         S/C NO:</t>
  </si>
  <si>
    <t>PO04791</t>
  </si>
  <si>
    <t>Fontana, CA 92335</t>
  </si>
  <si>
    <t>United States</t>
  </si>
  <si>
    <t xml:space="preserve">             Date:</t>
  </si>
  <si>
    <t>1.323.345.6456</t>
  </si>
  <si>
    <t xml:space="preserve">              Page:</t>
  </si>
  <si>
    <t>1/1</t>
  </si>
  <si>
    <t>FROM:</t>
  </si>
  <si>
    <t>SHANGHAI</t>
  </si>
  <si>
    <t xml:space="preserve">NRI US Warehouse </t>
  </si>
  <si>
    <t>L/C NO.</t>
  </si>
  <si>
    <t>Issued by:</t>
  </si>
  <si>
    <t>T/T</t>
  </si>
  <si>
    <t>KNIT</t>
  </si>
  <si>
    <t>Style Number</t>
  </si>
  <si>
    <t>Style Description</t>
  </si>
  <si>
    <t>Colourway Description</t>
  </si>
  <si>
    <t>3T</t>
  </si>
  <si>
    <t>S</t>
  </si>
  <si>
    <t>M</t>
  </si>
  <si>
    <t>ONE</t>
  </si>
  <si>
    <t>QTY (PCS)</t>
  </si>
  <si>
    <t>FOB</t>
  </si>
  <si>
    <t>SMS Surcharge (0.75x FOB)</t>
  </si>
  <si>
    <t>Final FOB</t>
  </si>
  <si>
    <t>TTL COST</t>
  </si>
  <si>
    <t>45% Recycled Polyester, 30%TENCEL Lyocell, 25%Organic Cotton</t>
  </si>
  <si>
    <t>TCM1761</t>
  </si>
  <si>
    <t>ZCM1761-6935-M</t>
  </si>
  <si>
    <t>M Juniper T-Shirt</t>
  </si>
  <si>
    <t>Deep Fern Heather</t>
  </si>
  <si>
    <t>60% Organic 40% recycled polyester</t>
  </si>
  <si>
    <t>TCM1763</t>
  </si>
  <si>
    <t>ZCM1763-6933-M</t>
  </si>
  <si>
    <t>M Juniper Hoodie</t>
  </si>
  <si>
    <t>Slate Moss Heather</t>
  </si>
  <si>
    <t>45% Recycled polyester,30% TENCEL Lyocell,25% Oeganic Cotton</t>
  </si>
  <si>
    <t>TCM1869</t>
  </si>
  <si>
    <t>ZCM1869-6945-M</t>
  </si>
  <si>
    <t>M Baker T-Shirt</t>
  </si>
  <si>
    <t>Desert Clay Heather</t>
  </si>
  <si>
    <t>TCM2308</t>
  </si>
  <si>
    <t>ZCM2308-6988-M</t>
  </si>
  <si>
    <t>M Baker Henley Longsleeve</t>
  </si>
  <si>
    <t>Kona Heather/Stone Earth Heather</t>
  </si>
  <si>
    <t>ZCM2308-6989-M</t>
  </si>
  <si>
    <t>Midnight Blue Heather/Steel Bay Heather</t>
  </si>
  <si>
    <t>TCM2580</t>
  </si>
  <si>
    <t>ZCM2580-6945-M</t>
  </si>
  <si>
    <t>M Bear Claw T-Shirt</t>
  </si>
  <si>
    <t>TCM3009</t>
  </si>
  <si>
    <t>ZCM3009-6934-M</t>
  </si>
  <si>
    <t>M Embroidered Ten T-Shirt</t>
  </si>
  <si>
    <t>Stone Earth Heather</t>
  </si>
  <si>
    <t>55% Recycled Polyester 45% Organic Cotton</t>
  </si>
  <si>
    <t>TCM5420</t>
  </si>
  <si>
    <t>ZCM5420-6942-M</t>
  </si>
  <si>
    <t>M Begbie Full Zip</t>
  </si>
  <si>
    <t>Steel Bay Heather</t>
  </si>
  <si>
    <t>TCM5755</t>
  </si>
  <si>
    <t>ZCM5755-6995-M</t>
  </si>
  <si>
    <t>M Sasquatch T-Shirt</t>
  </si>
  <si>
    <t>Slate Moss Heather/Classic</t>
  </si>
  <si>
    <t>ZCM5755-6997-M</t>
  </si>
  <si>
    <t>Coastal Mist Heather/Skiing</t>
  </si>
  <si>
    <t>60% Organic Cotton,40% Recycled Polyester</t>
  </si>
  <si>
    <t>TCM5780</t>
  </si>
  <si>
    <t>ZCM5780-6998-M</t>
  </si>
  <si>
    <t>M Sasquatch Hoodie</t>
  </si>
  <si>
    <t>Merlot Heather/Classic</t>
  </si>
  <si>
    <t>ZCM5780-6999-M</t>
  </si>
  <si>
    <t>Steel Bay Heather/Skiing</t>
  </si>
  <si>
    <t>TCM6242</t>
  </si>
  <si>
    <t>ZCM6242-6933-M</t>
  </si>
  <si>
    <t>M Baker Longsleeve</t>
  </si>
  <si>
    <t>TCM6302</t>
  </si>
  <si>
    <t>ZCM6302-6932-M</t>
  </si>
  <si>
    <t>M Quilted Reynard Crew</t>
  </si>
  <si>
    <t>Nutmeg Heather</t>
  </si>
  <si>
    <t>TCM6513</t>
  </si>
  <si>
    <t>ZCM6513-6942-M</t>
  </si>
  <si>
    <t>M Baker Hooded Longsleeve</t>
  </si>
  <si>
    <t>TCM6522</t>
  </si>
  <si>
    <t>ZCM6522-6936-M</t>
  </si>
  <si>
    <t>M Astir Polo</t>
  </si>
  <si>
    <t>Eclipse Heather</t>
  </si>
  <si>
    <t>TCM6657</t>
  </si>
  <si>
    <t>ZCM6657-5587-M</t>
  </si>
  <si>
    <t>M Protect T-Shirt</t>
  </si>
  <si>
    <t>Kona Heather</t>
  </si>
  <si>
    <t>TCM7055</t>
  </si>
  <si>
    <t>ZCM7055-6937-M</t>
  </si>
  <si>
    <t>M Lumber T-Shirt</t>
  </si>
  <si>
    <t>Merlot Heather</t>
  </si>
  <si>
    <t>TCM7058</t>
  </si>
  <si>
    <t>ZCM7058-0451-M</t>
  </si>
  <si>
    <t>M Local Legend T-Shirt</t>
  </si>
  <si>
    <t>Meteorite Black Heather</t>
  </si>
  <si>
    <t>TCM7059</t>
  </si>
  <si>
    <t>ZCM7059-6938-M</t>
  </si>
  <si>
    <t>M Bruin T-Shirt</t>
  </si>
  <si>
    <t>Coastal Mist Heather</t>
  </si>
  <si>
    <t>TCM7073</t>
  </si>
  <si>
    <t>ZCM7073-7081-M</t>
  </si>
  <si>
    <t>M Quilted Elias 1/4 Snap</t>
  </si>
  <si>
    <t>Graphite Brush Print/Meteorite Black Heather</t>
  </si>
  <si>
    <t>ZCM7073-7082-M</t>
  </si>
  <si>
    <t>Eclipse Brush Print/Deep Sea Heather</t>
  </si>
  <si>
    <t>ZCM7073-7083-M</t>
  </si>
  <si>
    <t>Stone Earth Heather/Slate Moss Heather</t>
  </si>
  <si>
    <t>ZCM7073-7084-M</t>
  </si>
  <si>
    <t>Woodland Heather/Nutmeg Heather</t>
  </si>
  <si>
    <t>TCM7107</t>
  </si>
  <si>
    <t>ZCM7107-0451-M</t>
  </si>
  <si>
    <t>M Quilted Colville Overshirt</t>
  </si>
  <si>
    <t>ZCM7107-6931-M</t>
  </si>
  <si>
    <t>Woodland Heather</t>
  </si>
  <si>
    <t>ZCM7107-6932-M</t>
  </si>
  <si>
    <t>ZCM7107-6936-M</t>
  </si>
  <si>
    <t>ZCM7107-7078-M</t>
  </si>
  <si>
    <t>Slate Moss Heather/Rustic Twill</t>
  </si>
  <si>
    <t>ZCM7107-7079-M</t>
  </si>
  <si>
    <t>Graphite Heather/Rustic Twill</t>
  </si>
  <si>
    <t>ZCM7107-7080-M</t>
  </si>
  <si>
    <t>Falcon Heather/Cedarline</t>
  </si>
  <si>
    <t>TCW2455</t>
  </si>
  <si>
    <t>ZCW2455-6940-S</t>
  </si>
  <si>
    <t>W Winslow T-Shirt</t>
  </si>
  <si>
    <t>Warm Harvest Heather</t>
  </si>
  <si>
    <t>ZCW2455-6943-S</t>
  </si>
  <si>
    <t>Lilac Ash Heather</t>
  </si>
  <si>
    <t>TCW2456</t>
  </si>
  <si>
    <t>ZCW2456-6939-S</t>
  </si>
  <si>
    <t>W Brackley T-Shirt</t>
  </si>
  <si>
    <t>Dusty Orchid Heather</t>
  </si>
  <si>
    <t>TCW7004</t>
  </si>
  <si>
    <t>ZCW7004-6941-S</t>
  </si>
  <si>
    <t>W Chanterelle T-Shirt</t>
  </si>
  <si>
    <t>Wild Sage Heather</t>
  </si>
  <si>
    <t>ZCW7004-6944-S</t>
  </si>
  <si>
    <t>Wild Fig Heather</t>
  </si>
  <si>
    <t>TCW7005</t>
  </si>
  <si>
    <t>ZCW7005-0451-S</t>
  </si>
  <si>
    <t>W Cross Stitch Mountain T-Shirt</t>
  </si>
  <si>
    <t>TCW7007</t>
  </si>
  <si>
    <t>ZCW7007-6903-S</t>
  </si>
  <si>
    <t>W Floral Imprint T-Shirt</t>
  </si>
  <si>
    <t>Deep Sea Heather</t>
  </si>
  <si>
    <t>78% Organic Cotton, 22% Recycled Polyester</t>
  </si>
  <si>
    <t>TCW7030</t>
  </si>
  <si>
    <t>ZCW7030-7074-S</t>
  </si>
  <si>
    <t>W Quilted Parke 1/4 Snap</t>
  </si>
  <si>
    <t>Quilted Foliage/White Oak Heather</t>
  </si>
  <si>
    <t>ZCW7030-7075-S</t>
  </si>
  <si>
    <t>Quilted Foliage/Dusty Orchid Heather</t>
  </si>
  <si>
    <t>ZCW7030-7076-S</t>
  </si>
  <si>
    <t>Slate Moss Heather/Stone Earth Heather</t>
  </si>
  <si>
    <t>ZCW7030-7077-S</t>
  </si>
  <si>
    <t>Merlot Heather/Meteorite Black Heather</t>
  </si>
  <si>
    <t>Total</t>
  </si>
  <si>
    <t>Beneficiary:      BEST STAR FASHIONS CO., LTD</t>
  </si>
  <si>
    <r>
      <rPr>
        <sz val="14"/>
        <rFont val="Arial"/>
        <charset val="134"/>
      </rPr>
      <t>bank name</t>
    </r>
    <r>
      <rPr>
        <sz val="14"/>
        <rFont val="宋体"/>
        <charset val="134"/>
      </rPr>
      <t>：</t>
    </r>
    <r>
      <rPr>
        <sz val="14"/>
        <rFont val="Arial"/>
        <charset val="134"/>
      </rPr>
      <t xml:space="preserve">    CHONG HING BANK LIMITED (HK)</t>
    </r>
  </si>
  <si>
    <t xml:space="preserve">bank address:      chong hing bank centre, 24 des voeux road central (HK)          </t>
  </si>
  <si>
    <t>swift code:          LCHBHKHH</t>
  </si>
  <si>
    <t>account number:  041-256-80-171260-0</t>
  </si>
  <si>
    <t>*** ANY GOODS THIS INVOICE IS FOR BELONG TO BEST STAR FASHIONS CO.,LTD BEFORE THE PAYMENTS HAVE BEEN MADE FOR THIS INVOICE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</si>
</sst>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);[Red]\(0.00\)"/>
    <numFmt numFmtId="178" formatCode="yyyy/m/d;@"/>
    <numFmt numFmtId="179" formatCode="_-[$$-1009]* #,##0.00_-;\-[$$-1009]* #,##0.00_-;_-[$$-1009]* &quot;-&quot;??_-;_-@"/>
    <numFmt numFmtId="180" formatCode="_(&quot;$&quot;* #,##0.00_);_(&quot;$&quot;* \(#,##0.00\);_(&quot;$&quot;* &quot;-&quot;??_);_(@_)"/>
  </numFmts>
  <fonts count="6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宋体"/>
      <charset val="134"/>
      <scheme val="minor"/>
    </font>
    <font>
      <sz val="11"/>
      <color rgb="FFFF0000"/>
      <name val="Arial"/>
      <charset val="134"/>
    </font>
    <font>
      <sz val="10"/>
      <color theme="1"/>
      <name val="Arial"/>
      <charset val="134"/>
    </font>
    <font>
      <sz val="14"/>
      <color indexed="8"/>
      <name val="Arial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sz val="12"/>
      <name val="Arial"/>
      <charset val="134"/>
    </font>
    <font>
      <sz val="14"/>
      <name val="Arial"/>
      <charset val="134"/>
    </font>
    <font>
      <sz val="10"/>
      <name val="Arial"/>
      <charset val="134"/>
    </font>
    <font>
      <sz val="11"/>
      <color indexed="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4"/>
      <color theme="1"/>
      <name val="宋体"/>
      <charset val="134"/>
      <scheme val="minor"/>
    </font>
    <font>
      <sz val="12"/>
      <color rgb="FF000000"/>
      <name val="Arial"/>
      <charset val="134"/>
    </font>
    <font>
      <sz val="12"/>
      <color indexed="8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0"/>
      <color theme="1"/>
      <name val="Arial"/>
      <charset val="134"/>
    </font>
    <font>
      <sz val="8"/>
      <name val="微软雅黑"/>
      <charset val="134"/>
    </font>
    <font>
      <sz val="14"/>
      <color indexed="8"/>
      <name val="微软雅黑"/>
      <charset val="134"/>
    </font>
    <font>
      <sz val="14"/>
      <name val="微软雅黑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</font>
    <font>
      <sz val="8"/>
      <color rgb="FFFF0000"/>
      <name val="微软雅黑"/>
      <charset val="134"/>
    </font>
    <font>
      <sz val="16"/>
      <color theme="1"/>
      <name val="Arial"/>
      <charset val="134"/>
    </font>
    <font>
      <sz val="12"/>
      <color rgb="FFFF0000"/>
      <name val="Calibri"/>
      <charset val="134"/>
    </font>
    <font>
      <b/>
      <sz val="12"/>
      <color rgb="FFFF0000"/>
      <name val="Calibri"/>
      <charset val="134"/>
    </font>
    <font>
      <sz val="14"/>
      <color theme="1"/>
      <name val="Arial"/>
      <charset val="134"/>
    </font>
    <font>
      <sz val="14"/>
      <name val="Arial"/>
      <charset val="0"/>
    </font>
    <font>
      <sz val="10"/>
      <name val="Arial"/>
      <charset val="0"/>
    </font>
    <font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Verdana"/>
      <charset val="134"/>
    </font>
    <font>
      <sz val="12"/>
      <name val="宋体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6" fillId="0" borderId="5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" borderId="7" applyNumberFormat="0" applyAlignment="0" applyProtection="0">
      <alignment vertical="center"/>
    </xf>
    <xf numFmtId="0" fontId="49" fillId="5" borderId="8" applyNumberFormat="0" applyAlignment="0" applyProtection="0">
      <alignment vertical="center"/>
    </xf>
    <xf numFmtId="0" fontId="50" fillId="5" borderId="7" applyNumberFormat="0" applyAlignment="0" applyProtection="0">
      <alignment vertical="center"/>
    </xf>
    <xf numFmtId="0" fontId="51" fillId="6" borderId="9" applyNumberFormat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9" fillId="0" borderId="0"/>
    <xf numFmtId="0" fontId="60" fillId="0" borderId="0"/>
  </cellStyleXfs>
  <cellXfs count="86">
    <xf numFmtId="0" fontId="0" fillId="0" borderId="0" xfId="0">
      <alignment vertical="center"/>
    </xf>
    <xf numFmtId="0" fontId="0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2" xfId="0" applyNumberFormat="1" applyFont="1" applyFill="1" applyBorder="1" applyAlignment="1">
      <alignment horizontal="center" vertical="center"/>
    </xf>
    <xf numFmtId="176" fontId="17" fillId="0" borderId="3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178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19" fillId="0" borderId="1" xfId="0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49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vertical="center"/>
    </xf>
    <xf numFmtId="0" fontId="30" fillId="0" borderId="1" xfId="0" applyFont="1" applyFill="1" applyBorder="1" applyAlignment="1">
      <alignment horizontal="center" vertical="center"/>
    </xf>
    <xf numFmtId="179" fontId="31" fillId="0" borderId="1" xfId="0" applyNumberFormat="1" applyFont="1" applyFill="1" applyBorder="1" applyAlignment="1">
      <alignment horizontal="center" vertical="center"/>
    </xf>
    <xf numFmtId="9" fontId="24" fillId="0" borderId="1" xfId="49" applyNumberFormat="1" applyFont="1" applyFill="1" applyBorder="1" applyAlignment="1">
      <alignment horizontal="center" vertical="center" wrapText="1"/>
    </xf>
    <xf numFmtId="9" fontId="32" fillId="0" borderId="1" xfId="49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32" fillId="0" borderId="1" xfId="49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4" fillId="0" borderId="1" xfId="0" applyFont="1" applyFill="1" applyBorder="1" applyAlignment="1">
      <alignment horizontal="center" vertical="center"/>
    </xf>
    <xf numFmtId="180" fontId="3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vertical="center"/>
    </xf>
    <xf numFmtId="0" fontId="36" fillId="0" borderId="1" xfId="0" applyFont="1" applyFill="1" applyBorder="1" applyAlignment="1">
      <alignment vertical="center"/>
    </xf>
    <xf numFmtId="0" fontId="37" fillId="0" borderId="1" xfId="0" applyFont="1" applyFill="1" applyBorder="1" applyAlignment="1"/>
    <xf numFmtId="0" fontId="9" fillId="0" borderId="1" xfId="50" applyFont="1" applyFill="1" applyBorder="1" applyAlignment="1">
      <alignment vertical="center"/>
    </xf>
    <xf numFmtId="0" fontId="16" fillId="0" borderId="1" xfId="0" applyFont="1" applyFill="1" applyBorder="1" applyAlignment="1">
      <alignment wrapText="1"/>
    </xf>
    <xf numFmtId="0" fontId="16" fillId="0" borderId="1" xfId="0" applyFont="1" applyFill="1" applyBorder="1" applyAlignment="1"/>
    <xf numFmtId="0" fontId="10" fillId="0" borderId="1" xfId="0" applyFont="1" applyFill="1" applyBorder="1" applyAlignment="1"/>
    <xf numFmtId="0" fontId="38" fillId="0" borderId="1" xfId="0" applyFont="1" applyFill="1" applyBorder="1" applyAlignment="1"/>
    <xf numFmtId="0" fontId="39" fillId="0" borderId="1" xfId="0" applyFont="1" applyFill="1" applyBorder="1" applyAlignment="1"/>
    <xf numFmtId="0" fontId="16" fillId="0" borderId="1" xfId="0" applyFont="1" applyFill="1" applyBorder="1" applyAlignment="1">
      <alignment vertical="center"/>
    </xf>
    <xf numFmtId="0" fontId="16" fillId="0" borderId="1" xfId="50" applyFont="1" applyFill="1" applyBorder="1" applyAlignment="1">
      <alignment vertical="center" wrapText="1"/>
    </xf>
    <xf numFmtId="0" fontId="16" fillId="0" borderId="1" xfId="50" applyFont="1" applyFill="1" applyBorder="1" applyAlignment="1">
      <alignment vertical="center"/>
    </xf>
    <xf numFmtId="0" fontId="10" fillId="0" borderId="1" xfId="5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tabSelected="1" zoomScale="80" zoomScaleNormal="80" zoomScaleSheetLayoutView="60" workbookViewId="0">
      <selection activeCell="C67" sqref="C67"/>
    </sheetView>
  </sheetViews>
  <sheetFormatPr defaultColWidth="9" defaultRowHeight="13.5"/>
  <cols>
    <col min="1" max="1" width="59.1150442477876" style="6" customWidth="1"/>
    <col min="2" max="2" width="13.8938053097345" style="7" customWidth="1"/>
    <col min="3" max="3" width="28.0353982300885" style="8" customWidth="1"/>
    <col min="4" max="4" width="23.5044247787611" style="8" customWidth="1"/>
    <col min="5" max="5" width="31.6283185840708" style="8" customWidth="1"/>
    <col min="6" max="6" width="4.55752212389381" style="7" customWidth="1"/>
    <col min="7" max="7" width="5.2212389380531" style="7" customWidth="1"/>
    <col min="8" max="8" width="8.10619469026549" style="7" customWidth="1"/>
    <col min="9" max="9" width="7.31858407079646" style="7" customWidth="1"/>
    <col min="10" max="10" width="7.55752212389381" style="9" customWidth="1"/>
    <col min="11" max="11" width="12.4424778761062" style="7" customWidth="1"/>
    <col min="12" max="12" width="14.6637168141593" style="9" customWidth="1"/>
    <col min="13" max="13" width="11.5486725663717" style="9" customWidth="1"/>
    <col min="14" max="14" width="19.8849557522124" style="7" customWidth="1"/>
    <col min="15" max="16384" width="9" style="1"/>
  </cols>
  <sheetData>
    <row r="1" s="1" customFormat="1" ht="17.25" spans="1:14">
      <c r="A1" s="10"/>
      <c r="B1" s="11"/>
      <c r="C1" s="12"/>
      <c r="D1" s="12"/>
      <c r="E1" s="13" t="s">
        <v>0</v>
      </c>
      <c r="F1" s="14"/>
      <c r="G1" s="14"/>
      <c r="H1" s="11"/>
      <c r="I1" s="15"/>
      <c r="J1" s="15"/>
      <c r="K1" s="15"/>
      <c r="L1" s="15"/>
      <c r="M1" s="16"/>
      <c r="N1" s="7"/>
    </row>
    <row r="2" s="1" customFormat="1" ht="17.25" spans="1:14">
      <c r="A2" s="10"/>
      <c r="B2" s="11"/>
      <c r="C2" s="12"/>
      <c r="D2" s="12"/>
      <c r="E2" s="17" t="s">
        <v>1</v>
      </c>
      <c r="F2" s="14"/>
      <c r="G2" s="14"/>
      <c r="H2" s="11"/>
      <c r="I2" s="15"/>
      <c r="J2" s="15"/>
      <c r="K2" s="15"/>
      <c r="L2" s="15"/>
      <c r="M2" s="16"/>
      <c r="N2" s="7"/>
    </row>
    <row r="3" s="1" customFormat="1" ht="17.25" spans="1:14">
      <c r="A3" s="10"/>
      <c r="B3" s="11"/>
      <c r="C3" s="12"/>
      <c r="D3" s="12"/>
      <c r="E3" s="17" t="s">
        <v>2</v>
      </c>
      <c r="F3" s="14"/>
      <c r="G3" s="14"/>
      <c r="H3" s="11"/>
      <c r="I3" s="15"/>
      <c r="J3" s="15"/>
      <c r="K3" s="15"/>
      <c r="L3" s="15"/>
      <c r="M3" s="16"/>
      <c r="N3" s="7"/>
    </row>
    <row r="4" s="1" customFormat="1" ht="17.25" spans="1:14">
      <c r="A4" s="10"/>
      <c r="B4" s="11"/>
      <c r="C4" s="12"/>
      <c r="D4" s="12"/>
      <c r="E4" s="18" t="s">
        <v>3</v>
      </c>
      <c r="F4" s="19"/>
      <c r="G4" s="19"/>
      <c r="H4" s="11"/>
      <c r="I4" s="20"/>
      <c r="J4" s="20"/>
      <c r="K4" s="20"/>
      <c r="L4" s="20"/>
      <c r="M4" s="20"/>
      <c r="N4" s="7"/>
    </row>
    <row r="5" s="1" customFormat="1" ht="22.5" spans="1:14">
      <c r="A5" s="21"/>
      <c r="B5" s="22"/>
      <c r="C5" s="12"/>
      <c r="D5" s="12"/>
      <c r="E5" s="23" t="s">
        <v>4</v>
      </c>
      <c r="F5" s="24"/>
      <c r="G5" s="24"/>
      <c r="H5" s="22"/>
      <c r="I5" s="25"/>
      <c r="J5" s="26"/>
      <c r="K5" s="25"/>
      <c r="L5" s="25"/>
      <c r="M5" s="27"/>
      <c r="N5" s="7"/>
    </row>
    <row r="6" s="2" customFormat="1" ht="17.6" spans="1:14">
      <c r="A6" s="28" t="s">
        <v>5</v>
      </c>
      <c r="B6" s="29" t="s">
        <v>6</v>
      </c>
      <c r="C6" s="30"/>
      <c r="D6" s="30"/>
      <c r="E6" s="12"/>
      <c r="F6" s="22"/>
      <c r="G6" s="22"/>
      <c r="H6" s="22"/>
      <c r="I6" s="31"/>
      <c r="J6" s="31"/>
      <c r="K6" s="22"/>
      <c r="L6" s="32" t="s">
        <v>7</v>
      </c>
      <c r="M6" s="33" t="s">
        <v>8</v>
      </c>
      <c r="N6" s="34"/>
    </row>
    <row r="7" s="2" customFormat="1" spans="1:14">
      <c r="A7" s="28"/>
      <c r="B7" s="29" t="s">
        <v>9</v>
      </c>
      <c r="C7" s="30"/>
      <c r="D7" s="30"/>
      <c r="E7" s="35"/>
      <c r="F7" s="36"/>
      <c r="G7" s="36"/>
      <c r="H7" s="22"/>
      <c r="I7" s="31"/>
      <c r="J7" s="31"/>
      <c r="K7" s="22"/>
      <c r="L7" s="32"/>
      <c r="M7" s="37"/>
      <c r="N7" s="38"/>
    </row>
    <row r="8" s="2" customFormat="1" ht="15" spans="1:14">
      <c r="A8" s="28"/>
      <c r="B8" s="39" t="s">
        <v>10</v>
      </c>
      <c r="C8" s="30"/>
      <c r="D8" s="30"/>
      <c r="E8" s="30"/>
      <c r="F8" s="29"/>
      <c r="G8" s="29"/>
      <c r="H8" s="22"/>
      <c r="I8" s="31"/>
      <c r="J8" s="31"/>
      <c r="K8" s="22"/>
      <c r="L8" s="32"/>
      <c r="M8" s="37"/>
      <c r="N8" s="38"/>
    </row>
    <row r="9" s="2" customFormat="1" spans="1:14">
      <c r="A9" s="28"/>
      <c r="B9" s="29" t="s">
        <v>11</v>
      </c>
      <c r="C9" s="30"/>
      <c r="D9" s="30"/>
      <c r="E9" s="30"/>
      <c r="F9" s="29"/>
      <c r="G9" s="29"/>
      <c r="H9" s="22"/>
      <c r="I9" s="31"/>
      <c r="J9" s="31"/>
      <c r="K9" s="22"/>
      <c r="L9" s="32"/>
      <c r="M9" s="37"/>
      <c r="N9" s="38"/>
    </row>
    <row r="10" s="2" customFormat="1" spans="1:14">
      <c r="A10" s="28"/>
      <c r="B10" s="29" t="s">
        <v>12</v>
      </c>
      <c r="C10" s="30"/>
      <c r="D10" s="30"/>
      <c r="E10" s="30"/>
      <c r="F10" s="29"/>
      <c r="G10" s="29"/>
      <c r="H10" s="22"/>
      <c r="I10" s="31"/>
      <c r="J10" s="31"/>
      <c r="K10" s="22"/>
      <c r="L10" s="32" t="s">
        <v>13</v>
      </c>
      <c r="M10" s="37" t="s">
        <v>14</v>
      </c>
      <c r="N10" s="38"/>
    </row>
    <row r="11" s="2" customFormat="1" spans="1:14">
      <c r="A11" s="28"/>
      <c r="B11" s="29" t="s">
        <v>15</v>
      </c>
      <c r="C11" s="30"/>
      <c r="D11" s="30"/>
      <c r="E11" s="12"/>
      <c r="F11" s="22"/>
      <c r="G11" s="22"/>
      <c r="H11" s="22"/>
      <c r="I11" s="31"/>
      <c r="J11" s="31"/>
      <c r="K11" s="22"/>
      <c r="L11" s="32"/>
      <c r="M11" s="37"/>
      <c r="N11" s="38"/>
    </row>
    <row r="12" s="2" customFormat="1" spans="1:14">
      <c r="A12" s="28"/>
      <c r="B12" s="29" t="s">
        <v>16</v>
      </c>
      <c r="C12" s="30"/>
      <c r="D12" s="30"/>
      <c r="E12" s="12"/>
      <c r="F12" s="22"/>
      <c r="G12" s="22"/>
      <c r="H12" s="22"/>
      <c r="I12" s="31"/>
      <c r="J12" s="31"/>
      <c r="K12" s="22"/>
      <c r="L12" s="32" t="s">
        <v>17</v>
      </c>
      <c r="M12" s="40">
        <v>46223</v>
      </c>
      <c r="N12" s="38"/>
    </row>
    <row r="13" s="3" customFormat="1" ht="17.25" spans="1:14">
      <c r="A13" s="41"/>
      <c r="B13" s="12" t="s">
        <v>18</v>
      </c>
      <c r="C13" s="17"/>
      <c r="D13" s="17"/>
      <c r="E13" s="14"/>
      <c r="F13" s="14"/>
      <c r="G13" s="42"/>
      <c r="H13" s="43"/>
      <c r="I13" s="44"/>
      <c r="J13" s="45"/>
      <c r="K13" s="46" t="s">
        <v>19</v>
      </c>
      <c r="L13" s="47" t="s">
        <v>20</v>
      </c>
      <c r="M13" s="47"/>
      <c r="N13" s="48"/>
    </row>
    <row r="14" s="3" customFormat="1" ht="17.25" spans="1:14">
      <c r="A14" s="41"/>
      <c r="B14" s="29" t="s">
        <v>21</v>
      </c>
      <c r="C14" s="17"/>
      <c r="D14" s="17" t="s">
        <v>22</v>
      </c>
      <c r="E14" s="22"/>
      <c r="F14" s="14"/>
      <c r="G14" s="14"/>
      <c r="H14" s="14"/>
      <c r="I14" s="42" t="s">
        <v>5</v>
      </c>
      <c r="J14" s="39" t="s">
        <v>23</v>
      </c>
      <c r="K14" s="45"/>
      <c r="L14" s="49"/>
      <c r="M14" s="47"/>
      <c r="N14" s="48"/>
    </row>
    <row r="15" s="3" customFormat="1" ht="17.25" spans="1:14">
      <c r="A15" s="41"/>
      <c r="B15" s="29" t="s">
        <v>24</v>
      </c>
      <c r="C15" s="22"/>
      <c r="D15" s="22"/>
      <c r="E15" s="22"/>
      <c r="F15" s="14"/>
      <c r="G15" s="14"/>
      <c r="H15" s="14"/>
      <c r="I15" s="43" t="s">
        <v>25</v>
      </c>
      <c r="J15" s="43"/>
      <c r="K15" s="50" t="s">
        <v>26</v>
      </c>
      <c r="L15" s="44"/>
      <c r="M15" s="47"/>
      <c r="N15" s="48"/>
    </row>
    <row r="16" s="3" customFormat="1" ht="17.25" spans="1:14">
      <c r="A16" s="41"/>
      <c r="B16" s="29" t="s">
        <v>27</v>
      </c>
      <c r="C16" s="48"/>
      <c r="D16" s="48"/>
      <c r="E16" s="48"/>
      <c r="F16" s="48"/>
      <c r="G16" s="48"/>
      <c r="H16" s="48"/>
      <c r="I16" s="48"/>
      <c r="J16" s="51"/>
      <c r="K16" s="51"/>
      <c r="L16" s="48"/>
      <c r="M16" s="47"/>
      <c r="N16" s="48"/>
    </row>
    <row r="17" s="1" customFormat="1" ht="63" customHeight="1" spans="1:14">
      <c r="A17" s="52"/>
      <c r="B17" s="53" t="s">
        <v>28</v>
      </c>
      <c r="C17" s="54"/>
      <c r="D17" s="53" t="s">
        <v>29</v>
      </c>
      <c r="E17" s="53" t="s">
        <v>30</v>
      </c>
      <c r="F17" s="55" t="s">
        <v>31</v>
      </c>
      <c r="G17" s="56" t="s">
        <v>32</v>
      </c>
      <c r="H17" s="56" t="s">
        <v>33</v>
      </c>
      <c r="I17" s="56" t="s">
        <v>34</v>
      </c>
      <c r="J17" s="57" t="s">
        <v>35</v>
      </c>
      <c r="K17" s="58" t="s">
        <v>36</v>
      </c>
      <c r="L17" s="58" t="s">
        <v>37</v>
      </c>
      <c r="M17" s="58" t="s">
        <v>38</v>
      </c>
      <c r="N17" s="59" t="s">
        <v>39</v>
      </c>
    </row>
    <row r="18" s="1" customFormat="1" ht="15.75" spans="1:14">
      <c r="A18" s="54" t="s">
        <v>40</v>
      </c>
      <c r="B18" s="54" t="s">
        <v>41</v>
      </c>
      <c r="C18" s="54" t="s">
        <v>42</v>
      </c>
      <c r="D18" s="54" t="s">
        <v>43</v>
      </c>
      <c r="E18" s="54" t="s">
        <v>44</v>
      </c>
      <c r="F18" s="54"/>
      <c r="G18" s="60"/>
      <c r="H18" s="60">
        <v>7</v>
      </c>
      <c r="I18" s="60"/>
      <c r="J18" s="60">
        <v>7</v>
      </c>
      <c r="K18" s="61">
        <v>5.38</v>
      </c>
      <c r="L18" s="61">
        <f t="shared" ref="L18:L59" si="0">K18*0.75</f>
        <v>4.035</v>
      </c>
      <c r="M18" s="61">
        <f t="shared" ref="M18:M59" si="1">K18+L18</f>
        <v>9.415</v>
      </c>
      <c r="N18" s="61">
        <f t="shared" ref="N18:N37" si="2">J18*M18</f>
        <v>65.905</v>
      </c>
    </row>
    <row r="19" s="1" customFormat="1" ht="15.75" spans="1:14">
      <c r="A19" s="54" t="s">
        <v>45</v>
      </c>
      <c r="B19" s="54" t="s">
        <v>46</v>
      </c>
      <c r="C19" s="54" t="s">
        <v>47</v>
      </c>
      <c r="D19" s="54" t="s">
        <v>48</v>
      </c>
      <c r="E19" s="54" t="s">
        <v>49</v>
      </c>
      <c r="F19" s="54"/>
      <c r="G19" s="60"/>
      <c r="H19" s="60">
        <v>7</v>
      </c>
      <c r="I19" s="60"/>
      <c r="J19" s="60">
        <v>7</v>
      </c>
      <c r="K19" s="61">
        <v>13.01</v>
      </c>
      <c r="L19" s="61">
        <f t="shared" si="0"/>
        <v>9.7575</v>
      </c>
      <c r="M19" s="61">
        <f t="shared" si="1"/>
        <v>22.7675</v>
      </c>
      <c r="N19" s="61">
        <f t="shared" si="2"/>
        <v>159.3725</v>
      </c>
    </row>
    <row r="20" s="1" customFormat="1" ht="15.75" spans="1:14">
      <c r="A20" s="54" t="s">
        <v>50</v>
      </c>
      <c r="B20" s="54" t="s">
        <v>51</v>
      </c>
      <c r="C20" s="54" t="s">
        <v>52</v>
      </c>
      <c r="D20" s="54" t="s">
        <v>53</v>
      </c>
      <c r="E20" s="54" t="s">
        <v>54</v>
      </c>
      <c r="F20" s="54"/>
      <c r="G20" s="60"/>
      <c r="H20" s="60">
        <v>7</v>
      </c>
      <c r="I20" s="60"/>
      <c r="J20" s="60">
        <v>7</v>
      </c>
      <c r="K20" s="61">
        <v>5.72</v>
      </c>
      <c r="L20" s="61">
        <f t="shared" si="0"/>
        <v>4.29</v>
      </c>
      <c r="M20" s="61">
        <f t="shared" si="1"/>
        <v>10.01</v>
      </c>
      <c r="N20" s="61">
        <f t="shared" si="2"/>
        <v>70.07</v>
      </c>
    </row>
    <row r="21" s="1" customFormat="1" ht="15.75" spans="1:14">
      <c r="A21" s="62" t="s">
        <v>50</v>
      </c>
      <c r="B21" s="54" t="s">
        <v>55</v>
      </c>
      <c r="C21" s="54" t="s">
        <v>56</v>
      </c>
      <c r="D21" s="54" t="s">
        <v>57</v>
      </c>
      <c r="E21" s="54" t="s">
        <v>58</v>
      </c>
      <c r="F21" s="54"/>
      <c r="G21" s="60"/>
      <c r="H21" s="60">
        <v>7</v>
      </c>
      <c r="I21" s="60"/>
      <c r="J21" s="60">
        <v>7</v>
      </c>
      <c r="K21" s="61">
        <v>7.55</v>
      </c>
      <c r="L21" s="61">
        <f t="shared" si="0"/>
        <v>5.6625</v>
      </c>
      <c r="M21" s="61">
        <f t="shared" si="1"/>
        <v>13.2125</v>
      </c>
      <c r="N21" s="61">
        <f t="shared" si="2"/>
        <v>92.4875</v>
      </c>
    </row>
    <row r="22" s="1" customFormat="1" ht="15.75" spans="1:14">
      <c r="A22" s="62" t="s">
        <v>50</v>
      </c>
      <c r="B22" s="54" t="s">
        <v>55</v>
      </c>
      <c r="C22" s="54" t="s">
        <v>59</v>
      </c>
      <c r="D22" s="54" t="s">
        <v>57</v>
      </c>
      <c r="E22" s="54" t="s">
        <v>60</v>
      </c>
      <c r="F22" s="54"/>
      <c r="G22" s="60"/>
      <c r="H22" s="60">
        <v>7</v>
      </c>
      <c r="I22" s="60"/>
      <c r="J22" s="60">
        <v>7</v>
      </c>
      <c r="K22" s="61">
        <v>7.55</v>
      </c>
      <c r="L22" s="61">
        <f t="shared" si="0"/>
        <v>5.6625</v>
      </c>
      <c r="M22" s="61">
        <f t="shared" si="1"/>
        <v>13.2125</v>
      </c>
      <c r="N22" s="61">
        <f t="shared" si="2"/>
        <v>92.4875</v>
      </c>
    </row>
    <row r="23" s="1" customFormat="1" ht="15.75" spans="1:14">
      <c r="A23" s="62" t="s">
        <v>50</v>
      </c>
      <c r="B23" s="54" t="s">
        <v>61</v>
      </c>
      <c r="C23" s="54" t="s">
        <v>62</v>
      </c>
      <c r="D23" s="54" t="s">
        <v>63</v>
      </c>
      <c r="E23" s="54" t="s">
        <v>54</v>
      </c>
      <c r="F23" s="54"/>
      <c r="G23" s="60"/>
      <c r="H23" s="60">
        <v>7</v>
      </c>
      <c r="I23" s="60"/>
      <c r="J23" s="60">
        <v>7</v>
      </c>
      <c r="K23" s="61">
        <v>5.47</v>
      </c>
      <c r="L23" s="61">
        <f t="shared" si="0"/>
        <v>4.1025</v>
      </c>
      <c r="M23" s="61">
        <f t="shared" si="1"/>
        <v>9.5725</v>
      </c>
      <c r="N23" s="61">
        <f t="shared" si="2"/>
        <v>67.0075</v>
      </c>
    </row>
    <row r="24" s="1" customFormat="1" ht="15.75" spans="1:14">
      <c r="A24" s="62" t="s">
        <v>50</v>
      </c>
      <c r="B24" s="54" t="s">
        <v>64</v>
      </c>
      <c r="C24" s="54" t="s">
        <v>65</v>
      </c>
      <c r="D24" s="54" t="s">
        <v>66</v>
      </c>
      <c r="E24" s="54" t="s">
        <v>67</v>
      </c>
      <c r="F24" s="54"/>
      <c r="G24" s="60"/>
      <c r="H24" s="60">
        <v>7</v>
      </c>
      <c r="I24" s="60"/>
      <c r="J24" s="60">
        <v>7</v>
      </c>
      <c r="K24" s="61">
        <v>5.87</v>
      </c>
      <c r="L24" s="61">
        <f t="shared" si="0"/>
        <v>4.4025</v>
      </c>
      <c r="M24" s="61">
        <f t="shared" si="1"/>
        <v>10.2725</v>
      </c>
      <c r="N24" s="61">
        <f t="shared" si="2"/>
        <v>71.9075</v>
      </c>
    </row>
    <row r="25" s="1" customFormat="1" ht="15.75" spans="1:14">
      <c r="A25" s="62" t="s">
        <v>68</v>
      </c>
      <c r="B25" s="54" t="s">
        <v>69</v>
      </c>
      <c r="C25" s="54" t="s">
        <v>70</v>
      </c>
      <c r="D25" s="54" t="s">
        <v>71</v>
      </c>
      <c r="E25" s="54" t="s">
        <v>72</v>
      </c>
      <c r="F25" s="54"/>
      <c r="G25" s="60"/>
      <c r="H25" s="60">
        <v>7</v>
      </c>
      <c r="I25" s="60"/>
      <c r="J25" s="60">
        <v>7</v>
      </c>
      <c r="K25" s="61">
        <v>16.4</v>
      </c>
      <c r="L25" s="61">
        <f t="shared" si="0"/>
        <v>12.3</v>
      </c>
      <c r="M25" s="61">
        <f t="shared" si="1"/>
        <v>28.7</v>
      </c>
      <c r="N25" s="61">
        <f t="shared" si="2"/>
        <v>200.9</v>
      </c>
    </row>
    <row r="26" s="1" customFormat="1" ht="15.75" spans="1:14">
      <c r="A26" s="62" t="s">
        <v>50</v>
      </c>
      <c r="B26" s="54" t="s">
        <v>73</v>
      </c>
      <c r="C26" s="54" t="s">
        <v>74</v>
      </c>
      <c r="D26" s="54" t="s">
        <v>75</v>
      </c>
      <c r="E26" s="54" t="s">
        <v>76</v>
      </c>
      <c r="F26" s="54"/>
      <c r="G26" s="60"/>
      <c r="H26" s="60">
        <v>7</v>
      </c>
      <c r="I26" s="60"/>
      <c r="J26" s="60">
        <v>7</v>
      </c>
      <c r="K26" s="61">
        <v>5.58</v>
      </c>
      <c r="L26" s="61">
        <f t="shared" si="0"/>
        <v>4.185</v>
      </c>
      <c r="M26" s="61">
        <f t="shared" si="1"/>
        <v>9.765</v>
      </c>
      <c r="N26" s="61">
        <f t="shared" si="2"/>
        <v>68.355</v>
      </c>
    </row>
    <row r="27" s="1" customFormat="1" ht="15.75" spans="1:14">
      <c r="A27" s="62" t="s">
        <v>50</v>
      </c>
      <c r="B27" s="54" t="s">
        <v>73</v>
      </c>
      <c r="C27" s="54" t="s">
        <v>77</v>
      </c>
      <c r="D27" s="54" t="s">
        <v>75</v>
      </c>
      <c r="E27" s="54" t="s">
        <v>78</v>
      </c>
      <c r="F27" s="54"/>
      <c r="G27" s="60"/>
      <c r="H27" s="60">
        <v>7</v>
      </c>
      <c r="I27" s="60"/>
      <c r="J27" s="60">
        <v>7</v>
      </c>
      <c r="K27" s="61">
        <v>5.58</v>
      </c>
      <c r="L27" s="61">
        <f t="shared" si="0"/>
        <v>4.185</v>
      </c>
      <c r="M27" s="61">
        <f t="shared" si="1"/>
        <v>9.765</v>
      </c>
      <c r="N27" s="61">
        <f t="shared" si="2"/>
        <v>68.355</v>
      </c>
    </row>
    <row r="28" s="1" customFormat="1" ht="15.75" spans="1:14">
      <c r="A28" s="62" t="s">
        <v>79</v>
      </c>
      <c r="B28" s="54" t="s">
        <v>80</v>
      </c>
      <c r="C28" s="54" t="s">
        <v>81</v>
      </c>
      <c r="D28" s="54" t="s">
        <v>82</v>
      </c>
      <c r="E28" s="54" t="s">
        <v>83</v>
      </c>
      <c r="F28" s="54"/>
      <c r="G28" s="60"/>
      <c r="H28" s="60">
        <v>7</v>
      </c>
      <c r="I28" s="60"/>
      <c r="J28" s="60">
        <v>7</v>
      </c>
      <c r="K28" s="61">
        <v>13.74</v>
      </c>
      <c r="L28" s="61">
        <f t="shared" si="0"/>
        <v>10.305</v>
      </c>
      <c r="M28" s="61">
        <f t="shared" si="1"/>
        <v>24.045</v>
      </c>
      <c r="N28" s="61">
        <f t="shared" si="2"/>
        <v>168.315</v>
      </c>
    </row>
    <row r="29" s="1" customFormat="1" ht="15.75" spans="1:14">
      <c r="A29" s="62" t="s">
        <v>79</v>
      </c>
      <c r="B29" s="54" t="s">
        <v>80</v>
      </c>
      <c r="C29" s="54" t="s">
        <v>84</v>
      </c>
      <c r="D29" s="54" t="s">
        <v>82</v>
      </c>
      <c r="E29" s="54" t="s">
        <v>85</v>
      </c>
      <c r="F29" s="54"/>
      <c r="G29" s="60"/>
      <c r="H29" s="60">
        <v>7</v>
      </c>
      <c r="I29" s="60"/>
      <c r="J29" s="60">
        <v>7</v>
      </c>
      <c r="K29" s="61">
        <v>13.74</v>
      </c>
      <c r="L29" s="61">
        <f t="shared" si="0"/>
        <v>10.305</v>
      </c>
      <c r="M29" s="61">
        <f t="shared" si="1"/>
        <v>24.045</v>
      </c>
      <c r="N29" s="61">
        <f t="shared" si="2"/>
        <v>168.315</v>
      </c>
    </row>
    <row r="30" s="1" customFormat="1" ht="15.75" spans="1:14">
      <c r="A30" s="62" t="s">
        <v>50</v>
      </c>
      <c r="B30" s="54" t="s">
        <v>86</v>
      </c>
      <c r="C30" s="54" t="s">
        <v>87</v>
      </c>
      <c r="D30" s="54" t="s">
        <v>88</v>
      </c>
      <c r="E30" s="54" t="s">
        <v>49</v>
      </c>
      <c r="F30" s="54"/>
      <c r="G30" s="60"/>
      <c r="H30" s="60">
        <v>7</v>
      </c>
      <c r="I30" s="60"/>
      <c r="J30" s="60">
        <v>7</v>
      </c>
      <c r="K30" s="61">
        <v>7.27</v>
      </c>
      <c r="L30" s="61">
        <f t="shared" si="0"/>
        <v>5.4525</v>
      </c>
      <c r="M30" s="61">
        <f t="shared" si="1"/>
        <v>12.7225</v>
      </c>
      <c r="N30" s="61">
        <f t="shared" si="2"/>
        <v>89.0575</v>
      </c>
    </row>
    <row r="31" s="1" customFormat="1" ht="15.75" spans="1:14">
      <c r="A31" s="62" t="s">
        <v>68</v>
      </c>
      <c r="B31" s="54" t="s">
        <v>89</v>
      </c>
      <c r="C31" s="54" t="s">
        <v>90</v>
      </c>
      <c r="D31" s="54" t="s">
        <v>91</v>
      </c>
      <c r="E31" s="54" t="s">
        <v>92</v>
      </c>
      <c r="F31" s="54"/>
      <c r="G31" s="60"/>
      <c r="H31" s="60">
        <v>7</v>
      </c>
      <c r="I31" s="60"/>
      <c r="J31" s="60">
        <v>7</v>
      </c>
      <c r="K31" s="61">
        <v>13.98</v>
      </c>
      <c r="L31" s="61">
        <f t="shared" si="0"/>
        <v>10.485</v>
      </c>
      <c r="M31" s="61">
        <f t="shared" si="1"/>
        <v>24.465</v>
      </c>
      <c r="N31" s="61">
        <f t="shared" si="2"/>
        <v>171.255</v>
      </c>
    </row>
    <row r="32" s="1" customFormat="1" ht="15.75" spans="1:14">
      <c r="A32" s="62" t="s">
        <v>50</v>
      </c>
      <c r="B32" s="54" t="s">
        <v>93</v>
      </c>
      <c r="C32" s="54" t="s">
        <v>94</v>
      </c>
      <c r="D32" s="54" t="s">
        <v>95</v>
      </c>
      <c r="E32" s="54" t="s">
        <v>72</v>
      </c>
      <c r="F32" s="54"/>
      <c r="G32" s="60"/>
      <c r="H32" s="60">
        <v>7</v>
      </c>
      <c r="I32" s="60"/>
      <c r="J32" s="60">
        <v>7</v>
      </c>
      <c r="K32" s="61">
        <v>7.27</v>
      </c>
      <c r="L32" s="61">
        <f t="shared" si="0"/>
        <v>5.4525</v>
      </c>
      <c r="M32" s="61">
        <f t="shared" si="1"/>
        <v>12.7225</v>
      </c>
      <c r="N32" s="61">
        <f t="shared" si="2"/>
        <v>89.0575</v>
      </c>
    </row>
    <row r="33" s="1" customFormat="1" ht="15.75" spans="1:14">
      <c r="A33" s="62" t="s">
        <v>50</v>
      </c>
      <c r="B33" s="54" t="s">
        <v>96</v>
      </c>
      <c r="C33" s="54" t="s">
        <v>97</v>
      </c>
      <c r="D33" s="54" t="s">
        <v>98</v>
      </c>
      <c r="E33" s="54" t="s">
        <v>99</v>
      </c>
      <c r="F33" s="54"/>
      <c r="G33" s="60"/>
      <c r="H33" s="60">
        <v>7</v>
      </c>
      <c r="I33" s="60"/>
      <c r="J33" s="60">
        <v>7</v>
      </c>
      <c r="K33" s="61">
        <v>6.46</v>
      </c>
      <c r="L33" s="61">
        <f t="shared" si="0"/>
        <v>4.845</v>
      </c>
      <c r="M33" s="61">
        <f t="shared" si="1"/>
        <v>11.305</v>
      </c>
      <c r="N33" s="61">
        <f t="shared" si="2"/>
        <v>79.135</v>
      </c>
    </row>
    <row r="34" s="1" customFormat="1" ht="15.75" spans="1:14">
      <c r="A34" s="62" t="s">
        <v>50</v>
      </c>
      <c r="B34" s="54" t="s">
        <v>100</v>
      </c>
      <c r="C34" s="54" t="s">
        <v>101</v>
      </c>
      <c r="D34" s="54" t="s">
        <v>102</v>
      </c>
      <c r="E34" s="54" t="s">
        <v>103</v>
      </c>
      <c r="F34" s="54"/>
      <c r="G34" s="60"/>
      <c r="H34" s="60">
        <v>7</v>
      </c>
      <c r="I34" s="60"/>
      <c r="J34" s="60">
        <v>7</v>
      </c>
      <c r="K34" s="61">
        <v>6</v>
      </c>
      <c r="L34" s="61">
        <f t="shared" si="0"/>
        <v>4.5</v>
      </c>
      <c r="M34" s="61">
        <f t="shared" si="1"/>
        <v>10.5</v>
      </c>
      <c r="N34" s="61">
        <f t="shared" si="2"/>
        <v>73.5</v>
      </c>
    </row>
    <row r="35" s="1" customFormat="1" ht="15.75" spans="1:14">
      <c r="A35" s="62" t="s">
        <v>50</v>
      </c>
      <c r="B35" s="54" t="s">
        <v>104</v>
      </c>
      <c r="C35" s="54" t="s">
        <v>105</v>
      </c>
      <c r="D35" s="54" t="s">
        <v>106</v>
      </c>
      <c r="E35" s="54" t="s">
        <v>107</v>
      </c>
      <c r="F35" s="54"/>
      <c r="G35" s="60"/>
      <c r="H35" s="60">
        <v>7</v>
      </c>
      <c r="I35" s="60"/>
      <c r="J35" s="60">
        <v>7</v>
      </c>
      <c r="K35" s="61">
        <v>6</v>
      </c>
      <c r="L35" s="61">
        <f t="shared" si="0"/>
        <v>4.5</v>
      </c>
      <c r="M35" s="61">
        <f t="shared" si="1"/>
        <v>10.5</v>
      </c>
      <c r="N35" s="61">
        <f t="shared" si="2"/>
        <v>73.5</v>
      </c>
    </row>
    <row r="36" s="1" customFormat="1" ht="15.75" spans="1:14">
      <c r="A36" s="62" t="s">
        <v>50</v>
      </c>
      <c r="B36" s="54" t="s">
        <v>108</v>
      </c>
      <c r="C36" s="54" t="s">
        <v>109</v>
      </c>
      <c r="D36" s="54" t="s">
        <v>110</v>
      </c>
      <c r="E36" s="54" t="s">
        <v>111</v>
      </c>
      <c r="F36" s="54"/>
      <c r="G36" s="60"/>
      <c r="H36" s="60">
        <v>7</v>
      </c>
      <c r="I36" s="60"/>
      <c r="J36" s="60">
        <v>7</v>
      </c>
      <c r="K36" s="61">
        <v>6.1</v>
      </c>
      <c r="L36" s="61">
        <f t="shared" si="0"/>
        <v>4.575</v>
      </c>
      <c r="M36" s="61">
        <f t="shared" si="1"/>
        <v>10.675</v>
      </c>
      <c r="N36" s="61">
        <f t="shared" si="2"/>
        <v>74.725</v>
      </c>
    </row>
    <row r="37" s="1" customFormat="1" ht="15.75" spans="1:14">
      <c r="A37" s="62" t="s">
        <v>50</v>
      </c>
      <c r="B37" s="54" t="s">
        <v>112</v>
      </c>
      <c r="C37" s="54" t="s">
        <v>113</v>
      </c>
      <c r="D37" s="54" t="s">
        <v>114</v>
      </c>
      <c r="E37" s="54" t="s">
        <v>115</v>
      </c>
      <c r="F37" s="54"/>
      <c r="G37" s="60"/>
      <c r="H37" s="60">
        <v>7</v>
      </c>
      <c r="I37" s="60"/>
      <c r="J37" s="60">
        <v>7</v>
      </c>
      <c r="K37" s="61">
        <v>6</v>
      </c>
      <c r="L37" s="61">
        <f t="shared" si="0"/>
        <v>4.5</v>
      </c>
      <c r="M37" s="61">
        <f t="shared" si="1"/>
        <v>10.5</v>
      </c>
      <c r="N37" s="61">
        <f t="shared" si="2"/>
        <v>73.5</v>
      </c>
    </row>
    <row r="38" s="1" customFormat="1" ht="15.75" spans="1:14">
      <c r="A38" s="62" t="s">
        <v>68</v>
      </c>
      <c r="B38" s="54" t="s">
        <v>116</v>
      </c>
      <c r="C38" s="54" t="s">
        <v>117</v>
      </c>
      <c r="D38" s="54" t="s">
        <v>118</v>
      </c>
      <c r="E38" s="54" t="s">
        <v>119</v>
      </c>
      <c r="F38" s="54"/>
      <c r="G38" s="60"/>
      <c r="H38" s="60">
        <v>1</v>
      </c>
      <c r="I38" s="60"/>
      <c r="J38" s="60">
        <v>1</v>
      </c>
      <c r="K38" s="61">
        <v>15.99</v>
      </c>
      <c r="L38" s="61">
        <f t="shared" si="0"/>
        <v>11.9925</v>
      </c>
      <c r="M38" s="61">
        <f t="shared" si="1"/>
        <v>27.9825</v>
      </c>
      <c r="N38" s="61">
        <f t="shared" ref="N38:N59" si="3">J38*M38</f>
        <v>27.9825</v>
      </c>
    </row>
    <row r="39" s="1" customFormat="1" ht="15.75" spans="1:14">
      <c r="A39" s="62" t="s">
        <v>68</v>
      </c>
      <c r="B39" s="54" t="s">
        <v>116</v>
      </c>
      <c r="C39" s="54" t="s">
        <v>120</v>
      </c>
      <c r="D39" s="54" t="s">
        <v>118</v>
      </c>
      <c r="E39" s="54" t="s">
        <v>121</v>
      </c>
      <c r="F39" s="54"/>
      <c r="G39" s="60"/>
      <c r="H39" s="60">
        <v>7</v>
      </c>
      <c r="I39" s="60"/>
      <c r="J39" s="60">
        <v>7</v>
      </c>
      <c r="K39" s="61">
        <v>15.99</v>
      </c>
      <c r="L39" s="61">
        <f t="shared" si="0"/>
        <v>11.9925</v>
      </c>
      <c r="M39" s="61">
        <f t="shared" si="1"/>
        <v>27.9825</v>
      </c>
      <c r="N39" s="61">
        <f t="shared" si="3"/>
        <v>195.8775</v>
      </c>
    </row>
    <row r="40" s="1" customFormat="1" ht="15.75" spans="1:14">
      <c r="A40" s="62" t="s">
        <v>68</v>
      </c>
      <c r="B40" s="54" t="s">
        <v>116</v>
      </c>
      <c r="C40" s="54" t="s">
        <v>122</v>
      </c>
      <c r="D40" s="54" t="s">
        <v>118</v>
      </c>
      <c r="E40" s="54" t="s">
        <v>123</v>
      </c>
      <c r="F40" s="54"/>
      <c r="G40" s="60"/>
      <c r="H40" s="60">
        <v>7</v>
      </c>
      <c r="I40" s="60"/>
      <c r="J40" s="60">
        <v>7</v>
      </c>
      <c r="K40" s="61">
        <v>15.99</v>
      </c>
      <c r="L40" s="61">
        <f t="shared" si="0"/>
        <v>11.9925</v>
      </c>
      <c r="M40" s="61">
        <f t="shared" si="1"/>
        <v>27.9825</v>
      </c>
      <c r="N40" s="61">
        <f t="shared" si="3"/>
        <v>195.8775</v>
      </c>
    </row>
    <row r="41" s="1" customFormat="1" ht="15.75" spans="1:14">
      <c r="A41" s="62" t="s">
        <v>68</v>
      </c>
      <c r="B41" s="54" t="s">
        <v>116</v>
      </c>
      <c r="C41" s="54" t="s">
        <v>124</v>
      </c>
      <c r="D41" s="54" t="s">
        <v>118</v>
      </c>
      <c r="E41" s="54" t="s">
        <v>125</v>
      </c>
      <c r="F41" s="54"/>
      <c r="G41" s="60"/>
      <c r="H41" s="60">
        <v>1</v>
      </c>
      <c r="I41" s="60"/>
      <c r="J41" s="60">
        <v>1</v>
      </c>
      <c r="K41" s="61">
        <v>15.99</v>
      </c>
      <c r="L41" s="61">
        <f t="shared" si="0"/>
        <v>11.9925</v>
      </c>
      <c r="M41" s="61">
        <f t="shared" si="1"/>
        <v>27.9825</v>
      </c>
      <c r="N41" s="61">
        <f t="shared" si="3"/>
        <v>27.9825</v>
      </c>
    </row>
    <row r="42" s="1" customFormat="1" ht="15.75" spans="1:14">
      <c r="A42" s="62" t="s">
        <v>68</v>
      </c>
      <c r="B42" s="54" t="s">
        <v>126</v>
      </c>
      <c r="C42" s="54" t="s">
        <v>127</v>
      </c>
      <c r="D42" s="54" t="s">
        <v>128</v>
      </c>
      <c r="E42" s="54" t="s">
        <v>111</v>
      </c>
      <c r="F42" s="54"/>
      <c r="G42" s="60"/>
      <c r="H42" s="60">
        <v>1</v>
      </c>
      <c r="I42" s="60"/>
      <c r="J42" s="60">
        <v>1</v>
      </c>
      <c r="K42" s="61">
        <v>17.8</v>
      </c>
      <c r="L42" s="61">
        <f t="shared" si="0"/>
        <v>13.35</v>
      </c>
      <c r="M42" s="61">
        <f t="shared" si="1"/>
        <v>31.15</v>
      </c>
      <c r="N42" s="61">
        <f t="shared" si="3"/>
        <v>31.15</v>
      </c>
    </row>
    <row r="43" s="1" customFormat="1" ht="15.75" spans="1:14">
      <c r="A43" s="62" t="s">
        <v>68</v>
      </c>
      <c r="B43" s="54" t="s">
        <v>126</v>
      </c>
      <c r="C43" s="54" t="s">
        <v>129</v>
      </c>
      <c r="D43" s="54" t="s">
        <v>128</v>
      </c>
      <c r="E43" s="54" t="s">
        <v>130</v>
      </c>
      <c r="F43" s="54"/>
      <c r="G43" s="60"/>
      <c r="H43" s="60">
        <v>1</v>
      </c>
      <c r="I43" s="60"/>
      <c r="J43" s="60">
        <v>1</v>
      </c>
      <c r="K43" s="61">
        <v>17.8</v>
      </c>
      <c r="L43" s="61">
        <f t="shared" si="0"/>
        <v>13.35</v>
      </c>
      <c r="M43" s="61">
        <f t="shared" si="1"/>
        <v>31.15</v>
      </c>
      <c r="N43" s="61">
        <f t="shared" si="3"/>
        <v>31.15</v>
      </c>
    </row>
    <row r="44" s="1" customFormat="1" ht="15.75" spans="1:14">
      <c r="A44" s="62" t="s">
        <v>68</v>
      </c>
      <c r="B44" s="54" t="s">
        <v>126</v>
      </c>
      <c r="C44" s="54" t="s">
        <v>131</v>
      </c>
      <c r="D44" s="54" t="s">
        <v>128</v>
      </c>
      <c r="E44" s="54" t="s">
        <v>92</v>
      </c>
      <c r="F44" s="54"/>
      <c r="G44" s="60"/>
      <c r="H44" s="60">
        <v>1</v>
      </c>
      <c r="I44" s="60"/>
      <c r="J44" s="60">
        <v>1</v>
      </c>
      <c r="K44" s="61">
        <v>17.8</v>
      </c>
      <c r="L44" s="61">
        <f t="shared" si="0"/>
        <v>13.35</v>
      </c>
      <c r="M44" s="61">
        <f t="shared" si="1"/>
        <v>31.15</v>
      </c>
      <c r="N44" s="61">
        <f t="shared" si="3"/>
        <v>31.15</v>
      </c>
    </row>
    <row r="45" s="1" customFormat="1" ht="15.75" spans="1:14">
      <c r="A45" s="62" t="s">
        <v>68</v>
      </c>
      <c r="B45" s="54" t="s">
        <v>126</v>
      </c>
      <c r="C45" s="54" t="s">
        <v>132</v>
      </c>
      <c r="D45" s="54" t="s">
        <v>128</v>
      </c>
      <c r="E45" s="54" t="s">
        <v>99</v>
      </c>
      <c r="F45" s="54"/>
      <c r="G45" s="60"/>
      <c r="H45" s="60">
        <v>7</v>
      </c>
      <c r="I45" s="60"/>
      <c r="J45" s="60">
        <v>7</v>
      </c>
      <c r="K45" s="61">
        <v>17.8</v>
      </c>
      <c r="L45" s="61">
        <f t="shared" si="0"/>
        <v>13.35</v>
      </c>
      <c r="M45" s="61">
        <f t="shared" si="1"/>
        <v>31.15</v>
      </c>
      <c r="N45" s="61">
        <f t="shared" si="3"/>
        <v>218.05</v>
      </c>
    </row>
    <row r="46" s="1" customFormat="1" ht="15.75" spans="1:14">
      <c r="A46" s="62" t="s">
        <v>68</v>
      </c>
      <c r="B46" s="54" t="s">
        <v>126</v>
      </c>
      <c r="C46" s="54" t="s">
        <v>133</v>
      </c>
      <c r="D46" s="54" t="s">
        <v>128</v>
      </c>
      <c r="E46" s="54" t="s">
        <v>134</v>
      </c>
      <c r="F46" s="54"/>
      <c r="G46" s="60"/>
      <c r="H46" s="60">
        <v>1</v>
      </c>
      <c r="I46" s="60"/>
      <c r="J46" s="60">
        <v>1</v>
      </c>
      <c r="K46" s="61">
        <v>17.8</v>
      </c>
      <c r="L46" s="61">
        <f t="shared" si="0"/>
        <v>13.35</v>
      </c>
      <c r="M46" s="61">
        <f t="shared" si="1"/>
        <v>31.15</v>
      </c>
      <c r="N46" s="61">
        <f t="shared" si="3"/>
        <v>31.15</v>
      </c>
    </row>
    <row r="47" s="1" customFormat="1" ht="15.75" spans="1:14">
      <c r="A47" s="62" t="s">
        <v>68</v>
      </c>
      <c r="B47" s="54" t="s">
        <v>126</v>
      </c>
      <c r="C47" s="54" t="s">
        <v>135</v>
      </c>
      <c r="D47" s="54" t="s">
        <v>128</v>
      </c>
      <c r="E47" s="54" t="s">
        <v>136</v>
      </c>
      <c r="F47" s="54"/>
      <c r="G47" s="60"/>
      <c r="H47" s="60">
        <v>7</v>
      </c>
      <c r="I47" s="60"/>
      <c r="J47" s="60">
        <v>7</v>
      </c>
      <c r="K47" s="61">
        <v>17.8</v>
      </c>
      <c r="L47" s="61">
        <f t="shared" si="0"/>
        <v>13.35</v>
      </c>
      <c r="M47" s="61">
        <f t="shared" si="1"/>
        <v>31.15</v>
      </c>
      <c r="N47" s="61">
        <f t="shared" si="3"/>
        <v>218.05</v>
      </c>
    </row>
    <row r="48" s="1" customFormat="1" ht="15.75" spans="1:14">
      <c r="A48" s="62" t="s">
        <v>68</v>
      </c>
      <c r="B48" s="54" t="s">
        <v>126</v>
      </c>
      <c r="C48" s="54" t="s">
        <v>137</v>
      </c>
      <c r="D48" s="54" t="s">
        <v>128</v>
      </c>
      <c r="E48" s="54" t="s">
        <v>138</v>
      </c>
      <c r="F48" s="54"/>
      <c r="G48" s="60"/>
      <c r="H48" s="60">
        <v>7</v>
      </c>
      <c r="I48" s="60"/>
      <c r="J48" s="60">
        <v>7</v>
      </c>
      <c r="K48" s="61">
        <v>17.8</v>
      </c>
      <c r="L48" s="61">
        <f t="shared" si="0"/>
        <v>13.35</v>
      </c>
      <c r="M48" s="61">
        <f t="shared" si="1"/>
        <v>31.15</v>
      </c>
      <c r="N48" s="61">
        <f t="shared" si="3"/>
        <v>218.05</v>
      </c>
    </row>
    <row r="49" s="1" customFormat="1" ht="15.75" spans="1:14">
      <c r="A49" s="62" t="s">
        <v>50</v>
      </c>
      <c r="B49" s="54" t="s">
        <v>139</v>
      </c>
      <c r="C49" s="54" t="s">
        <v>140</v>
      </c>
      <c r="D49" s="54" t="s">
        <v>141</v>
      </c>
      <c r="E49" s="54" t="s">
        <v>142</v>
      </c>
      <c r="F49" s="54"/>
      <c r="G49" s="60">
        <v>7</v>
      </c>
      <c r="H49" s="60"/>
      <c r="I49" s="60"/>
      <c r="J49" s="60">
        <v>7</v>
      </c>
      <c r="K49" s="61">
        <v>5.18</v>
      </c>
      <c r="L49" s="61">
        <f t="shared" si="0"/>
        <v>3.885</v>
      </c>
      <c r="M49" s="61">
        <f t="shared" si="1"/>
        <v>9.065</v>
      </c>
      <c r="N49" s="61">
        <f t="shared" si="3"/>
        <v>63.455</v>
      </c>
    </row>
    <row r="50" s="1" customFormat="1" ht="15.75" spans="1:14">
      <c r="A50" s="62" t="s">
        <v>50</v>
      </c>
      <c r="B50" s="54" t="s">
        <v>139</v>
      </c>
      <c r="C50" s="54" t="s">
        <v>143</v>
      </c>
      <c r="D50" s="54" t="s">
        <v>141</v>
      </c>
      <c r="E50" s="54" t="s">
        <v>144</v>
      </c>
      <c r="F50" s="54"/>
      <c r="G50" s="60">
        <v>7</v>
      </c>
      <c r="H50" s="60"/>
      <c r="I50" s="60"/>
      <c r="J50" s="60">
        <v>7</v>
      </c>
      <c r="K50" s="61">
        <v>5.18</v>
      </c>
      <c r="L50" s="61">
        <f t="shared" si="0"/>
        <v>3.885</v>
      </c>
      <c r="M50" s="61">
        <f t="shared" si="1"/>
        <v>9.065</v>
      </c>
      <c r="N50" s="61">
        <f t="shared" si="3"/>
        <v>63.455</v>
      </c>
    </row>
    <row r="51" s="1" customFormat="1" ht="15.75" spans="1:14">
      <c r="A51" s="62" t="s">
        <v>50</v>
      </c>
      <c r="B51" s="54" t="s">
        <v>145</v>
      </c>
      <c r="C51" s="54" t="s">
        <v>146</v>
      </c>
      <c r="D51" s="54" t="s">
        <v>147</v>
      </c>
      <c r="E51" s="54" t="s">
        <v>148</v>
      </c>
      <c r="F51" s="54"/>
      <c r="G51" s="60">
        <v>7</v>
      </c>
      <c r="H51" s="60"/>
      <c r="I51" s="60"/>
      <c r="J51" s="60">
        <v>7</v>
      </c>
      <c r="K51" s="61">
        <v>5.41</v>
      </c>
      <c r="L51" s="61">
        <f t="shared" si="0"/>
        <v>4.0575</v>
      </c>
      <c r="M51" s="61">
        <f t="shared" si="1"/>
        <v>9.4675</v>
      </c>
      <c r="N51" s="61">
        <f t="shared" si="3"/>
        <v>66.2725</v>
      </c>
    </row>
    <row r="52" s="1" customFormat="1" ht="15.75" spans="1:14">
      <c r="A52" s="62" t="s">
        <v>50</v>
      </c>
      <c r="B52" s="54" t="s">
        <v>149</v>
      </c>
      <c r="C52" s="54" t="s">
        <v>150</v>
      </c>
      <c r="D52" s="54" t="s">
        <v>151</v>
      </c>
      <c r="E52" s="54" t="s">
        <v>152</v>
      </c>
      <c r="F52" s="54"/>
      <c r="G52" s="60">
        <v>7</v>
      </c>
      <c r="H52" s="60"/>
      <c r="I52" s="60"/>
      <c r="J52" s="60">
        <v>7</v>
      </c>
      <c r="K52" s="61">
        <v>5.6</v>
      </c>
      <c r="L52" s="61">
        <f t="shared" si="0"/>
        <v>4.2</v>
      </c>
      <c r="M52" s="61">
        <f t="shared" si="1"/>
        <v>9.8</v>
      </c>
      <c r="N52" s="61">
        <f t="shared" si="3"/>
        <v>68.6</v>
      </c>
    </row>
    <row r="53" s="1" customFormat="1" ht="15.75" spans="1:14">
      <c r="A53" s="62" t="s">
        <v>50</v>
      </c>
      <c r="B53" s="54" t="s">
        <v>149</v>
      </c>
      <c r="C53" s="54" t="s">
        <v>153</v>
      </c>
      <c r="D53" s="54" t="s">
        <v>151</v>
      </c>
      <c r="E53" s="54" t="s">
        <v>154</v>
      </c>
      <c r="F53" s="54"/>
      <c r="G53" s="60">
        <v>7</v>
      </c>
      <c r="H53" s="60"/>
      <c r="I53" s="60"/>
      <c r="J53" s="60">
        <v>7</v>
      </c>
      <c r="K53" s="61">
        <v>5.6</v>
      </c>
      <c r="L53" s="61">
        <f t="shared" si="0"/>
        <v>4.2</v>
      </c>
      <c r="M53" s="61">
        <f t="shared" si="1"/>
        <v>9.8</v>
      </c>
      <c r="N53" s="61">
        <f t="shared" si="3"/>
        <v>68.6</v>
      </c>
    </row>
    <row r="54" s="1" customFormat="1" ht="15.75" spans="1:14">
      <c r="A54" s="62" t="s">
        <v>50</v>
      </c>
      <c r="B54" s="54" t="s">
        <v>155</v>
      </c>
      <c r="C54" s="54" t="s">
        <v>156</v>
      </c>
      <c r="D54" s="54" t="s">
        <v>157</v>
      </c>
      <c r="E54" s="54" t="s">
        <v>111</v>
      </c>
      <c r="F54" s="54"/>
      <c r="G54" s="60">
        <v>7</v>
      </c>
      <c r="H54" s="60"/>
      <c r="I54" s="60"/>
      <c r="J54" s="60">
        <v>7</v>
      </c>
      <c r="K54" s="61">
        <v>5.5</v>
      </c>
      <c r="L54" s="61">
        <f t="shared" si="0"/>
        <v>4.125</v>
      </c>
      <c r="M54" s="61">
        <f t="shared" si="1"/>
        <v>9.625</v>
      </c>
      <c r="N54" s="61">
        <f t="shared" si="3"/>
        <v>67.375</v>
      </c>
    </row>
    <row r="55" s="1" customFormat="1" ht="15.75" spans="1:14">
      <c r="A55" s="62" t="s">
        <v>50</v>
      </c>
      <c r="B55" s="54" t="s">
        <v>158</v>
      </c>
      <c r="C55" s="54" t="s">
        <v>159</v>
      </c>
      <c r="D55" s="54" t="s">
        <v>160</v>
      </c>
      <c r="E55" s="54" t="s">
        <v>161</v>
      </c>
      <c r="F55" s="54"/>
      <c r="G55" s="60">
        <v>7</v>
      </c>
      <c r="H55" s="60"/>
      <c r="I55" s="60"/>
      <c r="J55" s="60">
        <v>7</v>
      </c>
      <c r="K55" s="61">
        <v>6.76</v>
      </c>
      <c r="L55" s="61">
        <f t="shared" si="0"/>
        <v>5.07</v>
      </c>
      <c r="M55" s="61">
        <f t="shared" si="1"/>
        <v>11.83</v>
      </c>
      <c r="N55" s="61">
        <f t="shared" si="3"/>
        <v>82.81</v>
      </c>
    </row>
    <row r="56" s="1" customFormat="1" ht="15.75" spans="1:14">
      <c r="A56" s="63" t="s">
        <v>162</v>
      </c>
      <c r="B56" s="54" t="s">
        <v>163</v>
      </c>
      <c r="C56" s="54" t="s">
        <v>164</v>
      </c>
      <c r="D56" s="54" t="s">
        <v>165</v>
      </c>
      <c r="E56" s="54" t="s">
        <v>166</v>
      </c>
      <c r="F56" s="54"/>
      <c r="G56" s="60">
        <v>7</v>
      </c>
      <c r="H56" s="60"/>
      <c r="I56" s="60"/>
      <c r="J56" s="60">
        <v>7</v>
      </c>
      <c r="K56" s="61">
        <v>15.47</v>
      </c>
      <c r="L56" s="61">
        <f t="shared" si="0"/>
        <v>11.6025</v>
      </c>
      <c r="M56" s="61">
        <f t="shared" si="1"/>
        <v>27.0725</v>
      </c>
      <c r="N56" s="61">
        <f t="shared" si="3"/>
        <v>189.5075</v>
      </c>
    </row>
    <row r="57" s="1" customFormat="1" ht="15.75" spans="1:14">
      <c r="A57" s="63" t="s">
        <v>162</v>
      </c>
      <c r="B57" s="54" t="s">
        <v>163</v>
      </c>
      <c r="C57" s="54" t="s">
        <v>167</v>
      </c>
      <c r="D57" s="54" t="s">
        <v>165</v>
      </c>
      <c r="E57" s="54" t="s">
        <v>168</v>
      </c>
      <c r="F57" s="54"/>
      <c r="G57" s="60">
        <v>1</v>
      </c>
      <c r="H57" s="60"/>
      <c r="I57" s="60"/>
      <c r="J57" s="60">
        <v>1</v>
      </c>
      <c r="K57" s="61">
        <v>15.47</v>
      </c>
      <c r="L57" s="61">
        <f t="shared" si="0"/>
        <v>11.6025</v>
      </c>
      <c r="M57" s="61">
        <f t="shared" si="1"/>
        <v>27.0725</v>
      </c>
      <c r="N57" s="61">
        <f t="shared" si="3"/>
        <v>27.0725</v>
      </c>
    </row>
    <row r="58" s="1" customFormat="1" ht="15.75" spans="1:14">
      <c r="A58" s="63" t="s">
        <v>162</v>
      </c>
      <c r="B58" s="54" t="s">
        <v>163</v>
      </c>
      <c r="C58" s="54" t="s">
        <v>169</v>
      </c>
      <c r="D58" s="54" t="s">
        <v>165</v>
      </c>
      <c r="E58" s="54" t="s">
        <v>170</v>
      </c>
      <c r="F58" s="54"/>
      <c r="G58" s="60">
        <v>1</v>
      </c>
      <c r="H58" s="60"/>
      <c r="I58" s="60"/>
      <c r="J58" s="60">
        <v>1</v>
      </c>
      <c r="K58" s="61">
        <v>15.47</v>
      </c>
      <c r="L58" s="61">
        <f t="shared" si="0"/>
        <v>11.6025</v>
      </c>
      <c r="M58" s="61">
        <f t="shared" si="1"/>
        <v>27.0725</v>
      </c>
      <c r="N58" s="61">
        <f t="shared" si="3"/>
        <v>27.0725</v>
      </c>
    </row>
    <row r="59" s="1" customFormat="1" ht="15.75" spans="1:14">
      <c r="A59" s="63" t="s">
        <v>162</v>
      </c>
      <c r="B59" s="54" t="s">
        <v>163</v>
      </c>
      <c r="C59" s="54" t="s">
        <v>171</v>
      </c>
      <c r="D59" s="54" t="s">
        <v>165</v>
      </c>
      <c r="E59" s="54" t="s">
        <v>172</v>
      </c>
      <c r="F59" s="54"/>
      <c r="G59" s="60">
        <v>7</v>
      </c>
      <c r="H59" s="60"/>
      <c r="I59" s="60"/>
      <c r="J59" s="60">
        <v>7</v>
      </c>
      <c r="K59" s="61">
        <v>15.47</v>
      </c>
      <c r="L59" s="61">
        <f t="shared" si="0"/>
        <v>11.6025</v>
      </c>
      <c r="M59" s="61">
        <f t="shared" si="1"/>
        <v>27.0725</v>
      </c>
      <c r="N59" s="61">
        <f t="shared" si="3"/>
        <v>189.5075</v>
      </c>
    </row>
    <row r="60" s="1" customFormat="1" ht="20.25" spans="1:14">
      <c r="A60" s="54"/>
      <c r="B60" s="64"/>
      <c r="C60" s="60"/>
      <c r="D60" s="60"/>
      <c r="E60" s="60"/>
      <c r="F60" s="60"/>
      <c r="G60" s="60"/>
      <c r="H60" s="60"/>
      <c r="I60" s="60"/>
      <c r="J60" s="60"/>
      <c r="K60" s="61"/>
      <c r="L60" s="61"/>
      <c r="M60" s="61"/>
      <c r="N60" s="61"/>
    </row>
    <row r="61" s="1" customFormat="1" ht="20.25" spans="1:14">
      <c r="A61" s="54"/>
      <c r="B61" s="64"/>
      <c r="C61" s="60"/>
      <c r="D61" s="60"/>
      <c r="E61" s="60"/>
      <c r="F61" s="60"/>
      <c r="G61" s="60"/>
      <c r="H61" s="60"/>
      <c r="I61" s="60"/>
      <c r="J61" s="60"/>
      <c r="K61" s="61"/>
      <c r="L61" s="61"/>
      <c r="M61" s="61"/>
      <c r="N61" s="61"/>
    </row>
    <row r="62" s="1" customFormat="1" ht="20.25" spans="1:14">
      <c r="A62" s="54"/>
      <c r="B62" s="64"/>
      <c r="C62" s="60"/>
      <c r="D62" s="60"/>
      <c r="E62" s="60"/>
      <c r="F62" s="60"/>
      <c r="G62" s="60"/>
      <c r="H62" s="60"/>
      <c r="I62" s="60"/>
      <c r="J62" s="60"/>
      <c r="K62" s="61"/>
      <c r="L62" s="61"/>
      <c r="M62" s="61"/>
      <c r="N62" s="61"/>
    </row>
    <row r="63" s="4" customFormat="1" spans="1:14">
      <c r="A63" s="65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</row>
    <row r="64" s="5" customFormat="1" ht="15.75" spans="1:14">
      <c r="A64" s="67"/>
      <c r="B64" s="68"/>
      <c r="C64" s="68"/>
      <c r="D64" s="68"/>
      <c r="E64" s="68"/>
      <c r="F64" s="68"/>
      <c r="G64" s="68"/>
      <c r="H64" s="68"/>
      <c r="I64" s="69" t="s">
        <v>173</v>
      </c>
      <c r="J64" s="68">
        <v>246</v>
      </c>
      <c r="K64" s="68"/>
      <c r="L64" s="68"/>
      <c r="M64" s="68"/>
      <c r="N64" s="70">
        <f>SUM(N18:N62)</f>
        <v>4157.405</v>
      </c>
    </row>
    <row r="65" s="2" customFormat="1" ht="15.75" spans="1:14">
      <c r="A65" s="6"/>
      <c r="B65" s="69"/>
      <c r="C65" s="8"/>
      <c r="D65" s="8"/>
      <c r="E65" s="71"/>
      <c r="F65" s="7"/>
      <c r="G65" s="7"/>
      <c r="H65" s="7"/>
      <c r="I65" s="7"/>
      <c r="J65" s="9"/>
      <c r="K65" s="7"/>
      <c r="L65" s="9"/>
      <c r="M65" s="9"/>
      <c r="N65" s="61"/>
    </row>
    <row r="66" s="1" customFormat="1" ht="17.25" spans="1:14">
      <c r="A66" s="72" t="s">
        <v>174</v>
      </c>
      <c r="B66" s="72"/>
      <c r="C66" s="72"/>
      <c r="D66" s="72"/>
      <c r="E66" s="72"/>
      <c r="F66" s="72"/>
      <c r="G66" s="72"/>
      <c r="H66" s="73"/>
      <c r="I66" s="74"/>
      <c r="J66" s="74"/>
      <c r="K66" s="38"/>
      <c r="L66" s="31"/>
      <c r="M66" s="32"/>
      <c r="N66" s="32"/>
    </row>
    <row r="67" s="1" customFormat="1" ht="17.65" spans="1:14">
      <c r="A67" s="72" t="s">
        <v>175</v>
      </c>
      <c r="B67" s="72"/>
      <c r="C67" s="72"/>
      <c r="D67" s="72"/>
      <c r="E67" s="72"/>
      <c r="F67" s="72"/>
      <c r="G67" s="72"/>
      <c r="H67" s="73"/>
      <c r="I67" s="74"/>
      <c r="J67" s="74"/>
      <c r="K67" s="38"/>
      <c r="L67" s="31"/>
      <c r="M67" s="32"/>
      <c r="N67" s="32"/>
    </row>
    <row r="68" s="1" customFormat="1" ht="17.25" spans="1:14">
      <c r="A68" s="72" t="s">
        <v>176</v>
      </c>
      <c r="B68" s="72"/>
      <c r="C68" s="72"/>
      <c r="D68" s="72"/>
      <c r="E68" s="72"/>
      <c r="F68" s="72"/>
      <c r="G68" s="72"/>
      <c r="H68" s="73"/>
      <c r="I68" s="74"/>
      <c r="J68" s="74"/>
      <c r="K68" s="38"/>
      <c r="L68" s="31"/>
      <c r="M68" s="32"/>
      <c r="N68" s="32"/>
    </row>
    <row r="69" s="1" customFormat="1" ht="17.25" spans="1:14">
      <c r="A69" s="72" t="s">
        <v>177</v>
      </c>
      <c r="B69" s="75"/>
      <c r="C69" s="75"/>
      <c r="D69" s="75"/>
      <c r="E69" s="75"/>
      <c r="F69" s="75"/>
      <c r="G69" s="72"/>
      <c r="H69" s="73"/>
      <c r="I69" s="74"/>
      <c r="J69" s="74"/>
      <c r="K69" s="38"/>
      <c r="L69" s="31"/>
      <c r="M69" s="32"/>
      <c r="N69" s="38"/>
    </row>
    <row r="70" s="1" customFormat="1" ht="17.25" spans="1:14">
      <c r="A70" s="72" t="s">
        <v>178</v>
      </c>
      <c r="B70" s="72"/>
      <c r="C70" s="72"/>
      <c r="D70" s="75"/>
      <c r="E70" s="75"/>
      <c r="F70" s="75"/>
      <c r="G70" s="72"/>
      <c r="H70" s="73"/>
      <c r="I70" s="73"/>
      <c r="J70" s="73"/>
      <c r="K70" s="38"/>
      <c r="L70" s="31"/>
      <c r="M70" s="32"/>
      <c r="N70" s="7"/>
    </row>
    <row r="71" s="1" customFormat="1" ht="17.25" spans="1:14">
      <c r="A71" s="76"/>
      <c r="B71" s="76"/>
      <c r="C71" s="76"/>
      <c r="D71" s="76"/>
      <c r="E71" s="76"/>
      <c r="F71" s="73"/>
      <c r="G71" s="73"/>
      <c r="H71" s="73"/>
      <c r="I71" s="73"/>
      <c r="J71" s="73"/>
      <c r="K71" s="38"/>
      <c r="L71" s="31"/>
      <c r="M71" s="32"/>
      <c r="N71" s="7"/>
    </row>
    <row r="72" s="1" customFormat="1" ht="17.25" spans="1:14">
      <c r="A72" s="76"/>
      <c r="B72" s="76"/>
      <c r="C72" s="76"/>
      <c r="D72" s="76"/>
      <c r="E72" s="76"/>
      <c r="F72" s="73"/>
      <c r="G72" s="73"/>
      <c r="H72" s="73"/>
      <c r="I72" s="73"/>
      <c r="J72" s="73"/>
      <c r="K72" s="38"/>
      <c r="L72" s="31"/>
      <c r="M72" s="32"/>
      <c r="N72" s="7"/>
    </row>
    <row r="73" s="1" customFormat="1" ht="17.25" spans="1:14">
      <c r="A73" s="76" t="s">
        <v>179</v>
      </c>
      <c r="B73" s="76"/>
      <c r="C73" s="76"/>
      <c r="D73" s="76"/>
      <c r="E73" s="76"/>
      <c r="F73" s="73"/>
      <c r="G73" s="73"/>
      <c r="H73" s="73"/>
      <c r="I73" s="73"/>
      <c r="J73" s="73"/>
      <c r="K73" s="38"/>
      <c r="L73" s="22"/>
      <c r="M73" s="32"/>
      <c r="N73" s="7"/>
    </row>
    <row r="74" s="1" customFormat="1" spans="1:14">
      <c r="A74" s="77"/>
      <c r="B74" s="78"/>
      <c r="C74" s="79"/>
      <c r="D74" s="79"/>
      <c r="E74" s="80"/>
      <c r="F74" s="81"/>
      <c r="G74" s="81"/>
      <c r="H74" s="81"/>
      <c r="I74" s="78"/>
      <c r="J74" s="82"/>
      <c r="K74" s="82"/>
      <c r="L74" s="82"/>
      <c r="M74" s="9"/>
      <c r="N74" s="7"/>
    </row>
    <row r="75" s="1" customFormat="1" spans="1:14">
      <c r="A75" s="83"/>
      <c r="B75" s="84"/>
      <c r="C75" s="85"/>
      <c r="D75" s="85"/>
      <c r="E75" s="85"/>
      <c r="F75" s="84"/>
      <c r="G75" s="84"/>
      <c r="H75" s="82"/>
      <c r="I75" s="82"/>
      <c r="J75" s="82"/>
      <c r="K75" s="82"/>
      <c r="L75" s="82"/>
      <c r="M75" s="9"/>
      <c r="N75" s="7"/>
    </row>
    <row r="76" s="1" customFormat="1" spans="1:14">
      <c r="A76" s="83"/>
      <c r="B76" s="84"/>
      <c r="C76" s="85"/>
      <c r="D76" s="85"/>
      <c r="E76" s="85"/>
      <c r="F76" s="84"/>
      <c r="G76" s="84"/>
      <c r="H76" s="82"/>
      <c r="I76" s="82"/>
      <c r="J76" s="82"/>
      <c r="K76" s="82"/>
      <c r="L76" s="82"/>
      <c r="M76" s="9"/>
      <c r="N76" s="7"/>
    </row>
  </sheetData>
  <mergeCells count="1">
    <mergeCell ref="M6:N6"/>
  </mergeCells>
  <pageMargins left="0.75" right="0.75" top="1" bottom="1" header="0.5" footer="0.5"/>
  <pageSetup paperSize="9" scale="3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PO4791 NRI US 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flabb</dc:creator>
  <cp:lastModifiedBy>美羊羊</cp:lastModifiedBy>
  <dcterms:created xsi:type="dcterms:W3CDTF">2026-07-15T01:35:00Z</dcterms:created>
  <dcterms:modified xsi:type="dcterms:W3CDTF">2026-07-22T02:00:15Z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B3C861DA59B3404AA3E525E7971DA73E_13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