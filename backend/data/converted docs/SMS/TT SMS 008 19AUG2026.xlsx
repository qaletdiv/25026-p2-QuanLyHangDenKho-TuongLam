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HA document\AW&amp;PS\2024~\TT\SHIPPING DOC\2026\SMS\"/>
    </mc:Choice>
  </mc:AlternateContent>
  <bookViews>
    <workbookView xWindow="255" yWindow="-15" windowWidth="10650" windowHeight="9690" tabRatio="877" activeTab="3"/>
  </bookViews>
  <sheets>
    <sheet name="INV (HCIN)" sheetId="97" r:id="rId1"/>
    <sheet name="INV (HCVN)" sheetId="173" r:id="rId2"/>
    <sheet name="PL (HCIN)" sheetId="77" r:id="rId3"/>
    <sheet name="PL (HCVN)" sheetId="174" r:id="rId4"/>
    <sheet name="BILL" sheetId="70" r:id="rId5"/>
  </sheets>
  <definedNames>
    <definedName name="_Fill" localSheetId="0" hidden="1">#REF!</definedName>
    <definedName name="_Fill" localSheetId="1" hidden="1">#REF!</definedName>
    <definedName name="_Fill" localSheetId="2" hidden="1">#REF!</definedName>
    <definedName name="_Fill" localSheetId="3" hidden="1">#REF!</definedName>
    <definedName name="_Fill" hidden="1">#REF!</definedName>
    <definedName name="_xlnm._FilterDatabase" localSheetId="2" hidden="1">'PL (HCIN)'!$A$18:$O$20</definedName>
    <definedName name="_xlnm._FilterDatabase" localSheetId="3" hidden="1">'PL (HCVN)'!$A$18:$O$20</definedName>
    <definedName name="gg" localSheetId="0" hidden="1">#REF!</definedName>
    <definedName name="gg" localSheetId="1" hidden="1">#REF!</definedName>
    <definedName name="gg" localSheetId="2" hidden="1">#REF!</definedName>
    <definedName name="gg" localSheetId="3" hidden="1">#REF!</definedName>
    <definedName name="gg" hidden="1">#REF!</definedName>
    <definedName name="_xlnm.Print_Area" localSheetId="0">'INV (HCIN)'!$A$1:$M$52</definedName>
    <definedName name="_xlnm.Print_Area" localSheetId="1">'INV (HCVN)'!$A$1:$M$52</definedName>
    <definedName name="_xlnm.Print_Area" localSheetId="2">'PL (HCIN)'!$A$1:$O$33</definedName>
    <definedName name="_xlnm.Print_Area" localSheetId="3">'PL (HCVN)'!$A$1:$O$33</definedName>
  </definedNames>
  <calcPr calcId="162913"/>
</workbook>
</file>

<file path=xl/calcChain.xml><?xml version="1.0" encoding="utf-8"?>
<calcChain xmlns="http://schemas.openxmlformats.org/spreadsheetml/2006/main">
  <c r="L27" i="174" l="1"/>
  <c r="N20" i="174"/>
  <c r="K20" i="174"/>
  <c r="C29" i="174" s="1"/>
  <c r="N19" i="174"/>
  <c r="M19" i="174"/>
  <c r="M20" i="174" s="1"/>
  <c r="N10" i="174"/>
  <c r="N9" i="174"/>
  <c r="A52" i="173"/>
  <c r="C32" i="174" l="1"/>
  <c r="C33" i="174"/>
  <c r="L27" i="77"/>
  <c r="N10" i="77" l="1"/>
  <c r="N19" i="77"/>
  <c r="N20" i="77" s="1"/>
  <c r="N9" i="77"/>
  <c r="K20" i="77"/>
  <c r="A52" i="97"/>
  <c r="M19" i="77"/>
  <c r="M20" i="77" l="1"/>
  <c r="C29" i="77"/>
  <c r="C33" i="77" s="1"/>
  <c r="C32" i="77" l="1"/>
</calcChain>
</file>

<file path=xl/sharedStrings.xml><?xml version="1.0" encoding="utf-8"?>
<sst xmlns="http://schemas.openxmlformats.org/spreadsheetml/2006/main" count="280" uniqueCount="114">
  <si>
    <t>COMMERCIAL INVOICE</t>
  </si>
  <si>
    <t>Date :</t>
  </si>
  <si>
    <t>Notify Party</t>
  </si>
  <si>
    <t>CANADA</t>
  </si>
  <si>
    <t>Description of Goods</t>
  </si>
  <si>
    <t>Unit Price</t>
  </si>
  <si>
    <t>PCS</t>
  </si>
  <si>
    <t>TOTAL</t>
  </si>
  <si>
    <t>PACKING LIST</t>
  </si>
  <si>
    <t>ONE</t>
  </si>
  <si>
    <t>1. ADVISING BANK</t>
  </si>
  <si>
    <t>Supplier address</t>
  </si>
  <si>
    <t xml:space="preserve">PO # </t>
  </si>
  <si>
    <t>Invoice NO.</t>
  </si>
  <si>
    <t>S/C  NO.</t>
  </si>
  <si>
    <t>Packinglist No.</t>
  </si>
  <si>
    <t>DATE:</t>
  </si>
  <si>
    <t>PAGE:</t>
  </si>
  <si>
    <t>604-829-2706</t>
  </si>
  <si>
    <t>SKU</t>
  </si>
  <si>
    <t>Style Description</t>
  </si>
  <si>
    <t>Color Description</t>
  </si>
  <si>
    <t>Total</t>
  </si>
  <si>
    <t>Summary</t>
  </si>
  <si>
    <t>XS</t>
  </si>
  <si>
    <t>S</t>
  </si>
  <si>
    <t>L</t>
  </si>
  <si>
    <t>XXL</t>
  </si>
  <si>
    <t>SM</t>
  </si>
  <si>
    <t>LXL</t>
  </si>
  <si>
    <t>OSA</t>
  </si>
  <si>
    <t>Total summary</t>
  </si>
  <si>
    <t>No of Units</t>
  </si>
  <si>
    <t>No of cartons</t>
  </si>
  <si>
    <t>CBM</t>
  </si>
  <si>
    <t>Gross Weight</t>
  </si>
  <si>
    <t xml:space="preserve">Net Weight </t>
  </si>
  <si>
    <t>PO</t>
  </si>
  <si>
    <t>COMPOSITION</t>
  </si>
  <si>
    <t>HO CHANG INTERNATIONAL CO., LTD</t>
  </si>
  <si>
    <t>TENTREE INTERNATIONAL</t>
  </si>
  <si>
    <t>Shipper / Exporter :</t>
  </si>
  <si>
    <t>309/2020/HCINT-PRM</t>
  </si>
  <si>
    <t>For Account &amp; Risk of Messers / Importer :</t>
  </si>
  <si>
    <t>Notify Party :</t>
  </si>
  <si>
    <t>Port of Loading :</t>
  </si>
  <si>
    <t>Final Destination:</t>
  </si>
  <si>
    <t>HCMC, VIETNAM</t>
  </si>
  <si>
    <t>Shipping Mode :</t>
  </si>
  <si>
    <t>Sailing on or About :</t>
  </si>
  <si>
    <t>Marks, Numbers of packages</t>
  </si>
  <si>
    <t>BANK DETAILS</t>
  </si>
  <si>
    <t>PLEASE NOTE HOCHANG DOES NOT CHANGE OUR BANK ACCOUNT WITHOUT ANY NOTICE IN ADVANCE.
AND IF YOU RECEIVE ANY EMAILS IN REGARDS TO CHANGE OF BANK INFO., 
PLEASE CHECK IT WITH HOCHANG BY PHONE NUMBER BELOW.</t>
  </si>
  <si>
    <t>84-90-126-8477 - HO CHANG VINA (ATTN. SEUNGKYU LEE)</t>
  </si>
  <si>
    <t>PHAN LE</t>
  </si>
  <si>
    <t>Ctn #</t>
  </si>
  <si>
    <t>Sku</t>
  </si>
  <si>
    <t>HoChang 
Ps#</t>
  </si>
  <si>
    <t>Po #</t>
  </si>
  <si>
    <t>Upc</t>
  </si>
  <si>
    <t>Composition</t>
  </si>
  <si>
    <t>Pcs/
Ctn</t>
  </si>
  <si>
    <t>Unit</t>
  </si>
  <si>
    <t xml:space="preserve">  N/w</t>
  </si>
  <si>
    <t xml:space="preserve">  G/w</t>
  </si>
  <si>
    <t>Measure</t>
  </si>
  <si>
    <t>1275 Venables, unit 230</t>
  </si>
  <si>
    <t>Contract No. # :</t>
  </si>
  <si>
    <t xml:space="preserve"> L/C No. # :</t>
  </si>
  <si>
    <t>Quantity (Unit)</t>
  </si>
  <si>
    <t>DZ</t>
  </si>
  <si>
    <t>M</t>
  </si>
  <si>
    <t>Vancouver, British Columbia, V6A 2E4</t>
  </si>
  <si>
    <t>HOCHANG VINA CO., LTD</t>
  </si>
  <si>
    <t>Consignee</t>
  </si>
  <si>
    <t>Tentree Po#</t>
  </si>
  <si>
    <r>
      <rPr>
        <sz val="12"/>
        <color theme="0"/>
        <rFont val="Arial"/>
        <family val="2"/>
      </rPr>
      <t>Bank Name</t>
    </r>
    <r>
      <rPr>
        <b/>
        <sz val="10"/>
        <color theme="0"/>
        <rFont val="Arial"/>
        <family val="2"/>
      </rPr>
      <t xml:space="preserve"> </t>
    </r>
    <r>
      <rPr>
        <b/>
        <sz val="12"/>
        <color theme="0"/>
        <rFont val="Arial"/>
        <family val="2"/>
      </rPr>
      <t>: KOREA EXCHANGE BANK GANGSEO BRANCH</t>
    </r>
  </si>
  <si>
    <r>
      <rPr>
        <sz val="12"/>
        <color theme="0"/>
        <rFont val="Arial"/>
        <family val="2"/>
      </rPr>
      <t>ACCOUNT #</t>
    </r>
    <r>
      <rPr>
        <b/>
        <sz val="12"/>
        <color theme="0"/>
        <rFont val="Arial"/>
        <family val="2"/>
      </rPr>
      <t xml:space="preserve">: 091-JSD-100571-3 </t>
    </r>
  </si>
  <si>
    <r>
      <rPr>
        <sz val="12"/>
        <color theme="0"/>
        <rFont val="Arial"/>
        <family val="2"/>
      </rPr>
      <t>Swift Code</t>
    </r>
    <r>
      <rPr>
        <b/>
        <sz val="12"/>
        <color theme="0"/>
        <rFont val="Arial"/>
        <family val="2"/>
      </rPr>
      <t xml:space="preserve"> : KOEXKRSE</t>
    </r>
  </si>
  <si>
    <r>
      <rPr>
        <sz val="12"/>
        <color theme="0"/>
        <rFont val="Arial"/>
        <family val="2"/>
      </rPr>
      <t>Address</t>
    </r>
    <r>
      <rPr>
        <b/>
        <sz val="12"/>
        <color theme="0"/>
        <rFont val="Arial"/>
        <family val="2"/>
      </rPr>
      <t xml:space="preserve"> : 604, Gonghang-daero, Yangcheon-gu, Seoul, Republic of Korea (Adopted a change of orthography in Korea) </t>
    </r>
  </si>
  <si>
    <t>Size</t>
  </si>
  <si>
    <t>A-1507, WOOLIMBLUE 9 BUSINESS CENTER, 583,</t>
  </si>
  <si>
    <t>YANGCHEON-RO, GANGSEO-GU, SEOUL, KOREA.</t>
  </si>
  <si>
    <t>Tel : (82)2-2668-6720           Fax : (82)2 -3661-5258</t>
  </si>
  <si>
    <t>10 tentree</t>
  </si>
  <si>
    <t>Net Weight:        KG</t>
  </si>
  <si>
    <t>Gross Weight:        KG</t>
  </si>
  <si>
    <t>Made in Vietnam</t>
  </si>
  <si>
    <t>TAX ID: 109-81-69227</t>
  </si>
  <si>
    <t>POSTAL CODE : 07547</t>
  </si>
  <si>
    <t>TAX ID: 3700370629</t>
  </si>
  <si>
    <t>TEL : (84)274-3731500         FAX : (84)274  -3731504</t>
  </si>
  <si>
    <t xml:space="preserve"> </t>
  </si>
  <si>
    <t>1</t>
  </si>
  <si>
    <t>NO.10, ROAD 26, SONG THAN 2 INDUSTRIAL PARK,</t>
  </si>
  <si>
    <t>DI AN WARD, HO CHI MINH CITY, VIETNAM</t>
  </si>
  <si>
    <t>Tentree c/o NRI Distribution Inc.</t>
  </si>
  <si>
    <t>8205 Dallas Dr., Kamloops, BC, V2C 6X2 Canada</t>
  </si>
  <si>
    <t>Attn: Alyssa Clisby</t>
  </si>
  <si>
    <t>Tel: 250 573 2619</t>
  </si>
  <si>
    <t>Email: Alyssa.Clisby@nri-distribution.com</t>
  </si>
  <si>
    <t>FEDEX</t>
  </si>
  <si>
    <t xml:space="preserve"> Remarks:  INCOTERMS EXW HCVN</t>
  </si>
  <si>
    <t>TRN_3158</t>
  </si>
  <si>
    <t>04794</t>
  </si>
  <si>
    <t>26-TT-077</t>
  </si>
  <si>
    <t>ZAU6262-7049-ONE</t>
  </si>
  <si>
    <t>661814939162</t>
  </si>
  <si>
    <t>Forest Cork Icon Elevation Hat</t>
  </si>
  <si>
    <t>Backcountry Jacquard/Meteorite Black</t>
  </si>
  <si>
    <t>87% Organic Cotton 13% Kapok
100% Recycled Polyester
100% Organic Cotton</t>
  </si>
  <si>
    <t>SMS008/2026/HCINT-TENTREE</t>
  </si>
  <si>
    <t>Say In Words: US Dollars Twenty Six Only</t>
  </si>
  <si>
    <t>Invoice No. # : SMS008/2026/HCINT-TENTREE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</si>
</sst>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1" formatCode="_(* #,##0_);_(* \(#,##0\);_(* &quot;-&quot;_);_(@_)"/>
    <numFmt numFmtId="44" formatCode="_(&quot;$&quot;* #,##0.00_);_(&quot;$&quot;* \(#,##0.00\);_(&quot;$&quot;* &quot;-&quot;??_);_(@_)"/>
    <numFmt numFmtId="43" formatCode="_(* #,##0.00_);_(* \(#,##0.00\);_(* &quot;-&quot;??_);_(@_)"/>
    <numFmt numFmtId="164" formatCode="&quot;£&quot;#,##0.00;[Red]\-&quot;£&quot;#,##0.00"/>
    <numFmt numFmtId="165" formatCode="_-* #,##0.00_-;\-* #,##0.00_-;_-* &quot;-&quot;??_-;_-@_-"/>
    <numFmt numFmtId="166" formatCode="_-* #,##0.00\ &quot;₫&quot;_-;\-* #,##0.00\ &quot;₫&quot;_-;_-* &quot;-&quot;??\ &quot;₫&quot;_-;_-@_-"/>
    <numFmt numFmtId="167" formatCode="\$#,##0\ ;\(\$#,##0\)"/>
    <numFmt numFmtId="168" formatCode="&quot;VND&quot;#,##0_);[Red]\(&quot;VND&quot;#,##0\)"/>
    <numFmt numFmtId="169" formatCode="&quot;₩&quot;#,##0;[Red]&quot;₩&quot;&quot;₩&quot;\-#,##0"/>
    <numFmt numFmtId="170" formatCode="&quot;₩&quot;#,##0.00;[Red]&quot;₩&quot;&quot;₩&quot;&quot;₩&quot;&quot;₩&quot;&quot;₩&quot;&quot;₩&quot;\-#,##0.00"/>
    <numFmt numFmtId="171" formatCode="#.00\ &quot;KG&quot;"/>
    <numFmt numFmtId="172" formatCode="0.00\ &quot;KG&quot;"/>
    <numFmt numFmtId="173" formatCode="_-* #,##0_-;\-* #,##0_-;_-* &quot;-&quot;??_-;_-@_-"/>
    <numFmt numFmtId="174" formatCode="_(* #,##0_);_(* \(#,##0\);_(* &quot;-&quot;??_);_(@_)"/>
    <numFmt numFmtId="175" formatCode="\ General\ "/>
    <numFmt numFmtId="176" formatCode="mmmm\ d\,\ yyyy"/>
    <numFmt numFmtId="177" formatCode="[$-409]mmmm\ d\,\ yyyy;@"/>
    <numFmt numFmtId="178" formatCode="&quot;US$&quot;#,##0.00_);[Red]\(&quot;US$&quot;#,##0.00\)"/>
    <numFmt numFmtId="179" formatCode="0.000%"/>
    <numFmt numFmtId="180" formatCode="_(* #,##0.000_);_(* \(#,##0.000\);_(* &quot;-&quot;??_);_(@_)"/>
  </numFmts>
  <fonts count="58">
    <font>
      <sz val="12"/>
      <name val="新細明體"/>
      <family val="1"/>
      <charset val="136"/>
    </font>
    <font>
      <sz val="11"/>
      <color theme="1"/>
      <name val="Calibri"/>
      <family val="2"/>
      <scheme val="minor"/>
    </font>
    <font>
      <sz val="11"/>
      <color theme="1"/>
      <name val="Calibri"/>
      <family val="2"/>
      <scheme val="minor"/>
    </font>
    <font>
      <sz val="10"/>
      <name val="VNI-Times"/>
      <family val="2"/>
    </font>
    <font>
      <sz val="12"/>
      <name val="Arial"/>
      <family val="2"/>
    </font>
    <font>
      <b/>
      <sz val="12"/>
      <name val="Arial"/>
      <family val="2"/>
    </font>
    <font>
      <b/>
      <i/>
      <sz val="10"/>
      <name val="Arial"/>
      <family val="2"/>
    </font>
    <font>
      <sz val="10"/>
      <name val="Arial"/>
      <family val="2"/>
    </font>
    <font>
      <b/>
      <sz val="10"/>
      <name val="Arial"/>
      <family val="2"/>
    </font>
    <font>
      <sz val="12"/>
      <name val="新細明體"/>
      <family val="1"/>
      <charset val="136"/>
    </font>
    <font>
      <b/>
      <sz val="11"/>
      <name val="Arial"/>
      <family val="2"/>
    </font>
    <font>
      <sz val="10"/>
      <color indexed="8"/>
      <name val="Arial"/>
      <family val="2"/>
    </font>
    <font>
      <sz val="11"/>
      <name val="돋움"/>
      <family val="3"/>
      <charset val="129"/>
    </font>
    <font>
      <sz val="11"/>
      <color indexed="8"/>
      <name val="맑은 고딕"/>
      <family val="3"/>
      <charset val="129"/>
    </font>
    <font>
      <sz val="11"/>
      <color indexed="8"/>
      <name val="맑은 고딕"/>
      <family val="3"/>
    </font>
    <font>
      <sz val="10"/>
      <name val="VNtimes new roman"/>
      <family val="1"/>
    </font>
    <font>
      <sz val="11"/>
      <name val="ＭＳ Ｐゴシック"/>
      <family val="2"/>
      <charset val="128"/>
    </font>
    <font>
      <sz val="10"/>
      <name val="Verdana"/>
      <family val="2"/>
    </font>
    <font>
      <sz val="14"/>
      <name val="뼻뮝"/>
      <family val="3"/>
    </font>
    <font>
      <sz val="12"/>
      <name val="뼻뮝"/>
      <family val="3"/>
    </font>
    <font>
      <sz val="11"/>
      <color theme="1"/>
      <name val="Calibri"/>
      <family val="3"/>
      <charset val="129"/>
      <scheme val="minor"/>
    </font>
    <font>
      <sz val="12"/>
      <name val="宋体"/>
      <charset val="129"/>
    </font>
    <font>
      <sz val="11"/>
      <color indexed="8"/>
      <name val="Calibri"/>
      <family val="2"/>
      <scheme val="minor"/>
    </font>
    <font>
      <b/>
      <i/>
      <u/>
      <sz val="10"/>
      <name val="Arial"/>
      <family val="2"/>
    </font>
    <font>
      <sz val="10"/>
      <color theme="1"/>
      <name val="Arial"/>
      <family val="2"/>
    </font>
    <font>
      <b/>
      <sz val="10"/>
      <color theme="1"/>
      <name val="Arial"/>
      <family val="2"/>
    </font>
    <font>
      <b/>
      <i/>
      <sz val="12"/>
      <name val="Arial"/>
      <family val="2"/>
    </font>
    <font>
      <sz val="12"/>
      <name val="宋体"/>
      <charset val="134"/>
    </font>
    <font>
      <sz val="8"/>
      <name val="Arial"/>
      <family val="2"/>
    </font>
    <font>
      <b/>
      <sz val="16"/>
      <name val="Arial"/>
      <family val="2"/>
    </font>
    <font>
      <b/>
      <sz val="8"/>
      <name val="Arial"/>
      <family val="2"/>
    </font>
    <font>
      <sz val="14"/>
      <name val="Arial"/>
      <family val="2"/>
    </font>
    <font>
      <b/>
      <u/>
      <sz val="12"/>
      <name val="Arial"/>
      <family val="2"/>
    </font>
    <font>
      <b/>
      <u/>
      <sz val="8"/>
      <name val="Arial"/>
      <family val="2"/>
    </font>
    <font>
      <sz val="11"/>
      <name val="Arial"/>
      <family val="2"/>
    </font>
    <font>
      <b/>
      <sz val="10"/>
      <color rgb="FFFF0000"/>
      <name val="Arial"/>
      <family val="2"/>
    </font>
    <font>
      <b/>
      <sz val="20"/>
      <name val="Arial"/>
      <family val="2"/>
    </font>
    <font>
      <sz val="12"/>
      <color theme="1"/>
      <name val="Arial"/>
      <family val="2"/>
    </font>
    <font>
      <sz val="9"/>
      <color theme="1"/>
      <name val="Arial"/>
      <family val="2"/>
    </font>
    <font>
      <sz val="9"/>
      <name val="Arial"/>
      <family val="2"/>
    </font>
    <font>
      <b/>
      <i/>
      <sz val="10"/>
      <color theme="1"/>
      <name val="Arial"/>
      <family val="2"/>
    </font>
    <font>
      <b/>
      <i/>
      <sz val="10"/>
      <color indexed="8"/>
      <name val="Arial"/>
      <family val="2"/>
    </font>
    <font>
      <b/>
      <i/>
      <u val="singleAccounting"/>
      <sz val="12"/>
      <name val="Arial"/>
      <family val="2"/>
    </font>
    <font>
      <b/>
      <i/>
      <u val="singleAccounting"/>
      <sz val="12"/>
      <color theme="1"/>
      <name val="Arial"/>
      <family val="2"/>
    </font>
    <font>
      <sz val="10"/>
      <color theme="0"/>
      <name val="Arial"/>
      <family val="2"/>
    </font>
    <font>
      <sz val="12"/>
      <color theme="0"/>
      <name val="Arial"/>
      <family val="2"/>
    </font>
    <font>
      <b/>
      <i/>
      <u val="singleAccounting"/>
      <sz val="12"/>
      <color rgb="FFFF0000"/>
      <name val="Arial"/>
      <family val="2"/>
    </font>
    <font>
      <b/>
      <u/>
      <sz val="20"/>
      <name val="Arial"/>
      <family val="2"/>
    </font>
    <font>
      <sz val="12"/>
      <color rgb="FF00B0F0"/>
      <name val="Arial"/>
      <family val="2"/>
    </font>
    <font>
      <sz val="12"/>
      <name val="Times New Roman"/>
      <family val="1"/>
    </font>
    <font>
      <sz val="10"/>
      <name val="Times New Roman"/>
      <family val="1"/>
    </font>
    <font>
      <b/>
      <sz val="12"/>
      <color theme="0"/>
      <name val="Arial"/>
      <family val="2"/>
    </font>
    <font>
      <i/>
      <u val="singleAccounting"/>
      <sz val="12"/>
      <color theme="0"/>
      <name val="Arial"/>
      <family val="2"/>
    </font>
    <font>
      <i/>
      <u val="singleAccounting"/>
      <sz val="10"/>
      <color theme="0"/>
      <name val="Arial"/>
      <family val="2"/>
    </font>
    <font>
      <b/>
      <sz val="10"/>
      <color theme="0"/>
      <name val="Arial"/>
      <family val="2"/>
    </font>
    <font>
      <b/>
      <i/>
      <u val="singleAccounting"/>
      <sz val="12"/>
      <color theme="0"/>
      <name val="Arial"/>
      <family val="2"/>
    </font>
    <font>
      <sz val="12"/>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s>
  <borders count="39">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bottom/>
      <diagonal/>
    </border>
    <border>
      <left/>
      <right style="medium">
        <color auto="1"/>
      </right>
      <top/>
      <bottom style="thin">
        <color indexed="64"/>
      </bottom>
      <diagonal/>
    </border>
    <border>
      <left style="medium">
        <color auto="1"/>
      </left>
      <right style="medium">
        <color auto="1"/>
      </right>
      <top style="thin">
        <color auto="1"/>
      </top>
      <bottom style="double">
        <color indexed="64"/>
      </bottom>
      <diagonal/>
    </border>
    <border>
      <left style="medium">
        <color auto="1"/>
      </left>
      <right style="thin">
        <color auto="1"/>
      </right>
      <top style="thin">
        <color auto="1"/>
      </top>
      <bottom style="double">
        <color indexed="64"/>
      </bottom>
      <diagonal/>
    </border>
    <border>
      <left/>
      <right style="medium">
        <color indexed="64"/>
      </right>
      <top style="thin">
        <color auto="1"/>
      </top>
      <bottom style="double">
        <color indexed="64"/>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medium">
        <color auto="1"/>
      </right>
      <top style="thin">
        <color auto="1"/>
      </top>
      <bottom style="double">
        <color indexed="64"/>
      </bottom>
      <diagonal/>
    </border>
    <border>
      <left style="medium">
        <color indexed="64"/>
      </left>
      <right/>
      <top style="double">
        <color indexed="64"/>
      </top>
      <bottom/>
      <diagonal/>
    </border>
    <border>
      <left/>
      <right/>
      <top style="double">
        <color auto="1"/>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auto="1"/>
      </bottom>
      <diagonal/>
    </border>
    <border>
      <left style="thin">
        <color auto="1"/>
      </left>
      <right style="medium">
        <color auto="1"/>
      </right>
      <top/>
      <bottom style="thin">
        <color indexed="64"/>
      </bottom>
      <diagonal/>
    </border>
    <border>
      <left/>
      <right/>
      <top style="thin">
        <color auto="1"/>
      </top>
      <bottom style="double">
        <color indexed="64"/>
      </bottom>
      <diagonal/>
    </border>
    <border>
      <left style="thin">
        <color indexed="64"/>
      </left>
      <right style="medium">
        <color auto="1"/>
      </right>
      <top style="thin">
        <color indexed="64"/>
      </top>
      <bottom style="thin">
        <color indexed="64"/>
      </bottom>
      <diagonal/>
    </border>
  </borders>
  <cellStyleXfs count="71">
    <xf numFmtId="0" fontId="0" fillId="0" borderId="0">
      <alignment vertical="center"/>
    </xf>
    <xf numFmtId="165" fontId="9" fillId="0" borderId="0" applyFont="0" applyFill="0" applyBorder="0" applyAlignment="0" applyProtection="0">
      <alignment vertical="center"/>
    </xf>
    <xf numFmtId="43" fontId="7" fillId="0" borderId="0" applyFont="0" applyFill="0" applyBorder="0" applyAlignment="0" applyProtection="0"/>
    <xf numFmtId="0" fontId="3" fillId="0" borderId="0"/>
    <xf numFmtId="44" fontId="7" fillId="0" borderId="0" applyFont="0" applyFill="0" applyBorder="0" applyAlignment="0" applyProtection="0"/>
    <xf numFmtId="0" fontId="7" fillId="0" borderId="0">
      <alignment vertical="top"/>
    </xf>
    <xf numFmtId="41" fontId="7"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167" fontId="7" fillId="0" borderId="0" applyFont="0" applyFill="0" applyBorder="0" applyAlignment="0" applyProtection="0"/>
    <xf numFmtId="0" fontId="7" fillId="0" borderId="0" applyFont="0" applyFill="0" applyBorder="0" applyAlignment="0" applyProtection="0"/>
    <xf numFmtId="0" fontId="12" fillId="0" borderId="0">
      <alignment vertical="top"/>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7" fillId="0" borderId="0"/>
    <xf numFmtId="0" fontId="7" fillId="0" borderId="0"/>
    <xf numFmtId="2" fontId="7" fillId="0" borderId="0" applyFont="0" applyFill="0" applyBorder="0" applyAlignment="0" applyProtection="0"/>
    <xf numFmtId="168" fontId="15" fillId="0" borderId="0"/>
    <xf numFmtId="0" fontId="2" fillId="0" borderId="0"/>
    <xf numFmtId="0" fontId="7" fillId="0" borderId="0"/>
    <xf numFmtId="0" fontId="16" fillId="0" borderId="0">
      <alignment vertical="center"/>
    </xf>
    <xf numFmtId="0" fontId="16" fillId="0" borderId="0">
      <alignment vertical="center"/>
    </xf>
    <xf numFmtId="0" fontId="12" fillId="0" borderId="0">
      <alignment vertical="center"/>
    </xf>
    <xf numFmtId="0" fontId="16" fillId="0" borderId="0">
      <alignment vertical="center"/>
    </xf>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 fillId="0" borderId="0">
      <alignment vertical="center"/>
    </xf>
    <xf numFmtId="0" fontId="11" fillId="0" borderId="0">
      <alignment vertical="top"/>
    </xf>
    <xf numFmtId="40" fontId="18" fillId="0" borderId="0" applyFont="0" applyFill="0" applyBorder="0" applyAlignment="0" applyProtection="0"/>
    <xf numFmtId="38"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9" fillId="0" borderId="0"/>
    <xf numFmtId="0" fontId="7" fillId="0" borderId="0"/>
    <xf numFmtId="169" fontId="7" fillId="0" borderId="0" applyFont="0" applyFill="0" applyBorder="0" applyAlignment="0" applyProtection="0"/>
    <xf numFmtId="170" fontId="7" fillId="0" borderId="0" applyFont="0" applyFill="0" applyBorder="0" applyAlignment="0" applyProtection="0"/>
    <xf numFmtId="0" fontId="12" fillId="0" borderId="0">
      <alignment vertical="center"/>
    </xf>
    <xf numFmtId="0" fontId="20" fillId="0" borderId="0">
      <alignment vertical="center"/>
    </xf>
    <xf numFmtId="0" fontId="9" fillId="0" borderId="0"/>
    <xf numFmtId="165" fontId="9" fillId="0" borderId="0" applyFont="0" applyFill="0" applyBorder="0" applyAlignment="0" applyProtection="0">
      <alignment vertical="center"/>
    </xf>
    <xf numFmtId="0" fontId="21" fillId="0" borderId="0"/>
    <xf numFmtId="40" fontId="7" fillId="0" borderId="0" applyFont="0" applyFill="0" applyBorder="0" applyAlignment="0" applyProtection="0">
      <alignment vertical="center"/>
    </xf>
    <xf numFmtId="0" fontId="7" fillId="0" borderId="0">
      <alignment vertical="center"/>
    </xf>
    <xf numFmtId="0" fontId="22" fillId="0" borderId="0"/>
    <xf numFmtId="0" fontId="1" fillId="0" borderId="0">
      <alignment vertical="center"/>
    </xf>
    <xf numFmtId="0" fontId="27" fillId="0" borderId="0"/>
    <xf numFmtId="43" fontId="1" fillId="0" borderId="0" applyFont="0" applyFill="0" applyBorder="0" applyAlignment="0" applyProtection="0"/>
    <xf numFmtId="166" fontId="27" fillId="0" borderId="0" applyFont="0" applyFill="0" applyBorder="0" applyAlignment="0" applyProtection="0"/>
    <xf numFmtId="0" fontId="3" fillId="0" borderId="0"/>
    <xf numFmtId="0" fontId="11" fillId="0" borderId="0">
      <alignment vertical="top"/>
    </xf>
    <xf numFmtId="0" fontId="3" fillId="0" borderId="0"/>
    <xf numFmtId="0" fontId="3" fillId="0" borderId="0"/>
    <xf numFmtId="0" fontId="3" fillId="0" borderId="0"/>
    <xf numFmtId="0" fontId="3" fillId="0" borderId="0"/>
    <xf numFmtId="9" fontId="7" fillId="0" borderId="0" applyFont="0" applyFill="0" applyBorder="0" applyAlignment="0" applyProtection="0"/>
    <xf numFmtId="164" fontId="3" fillId="0" borderId="0" applyFill="0" applyBorder="0" applyProtection="0">
      <alignment vertical="top"/>
    </xf>
    <xf numFmtId="0" fontId="12" fillId="0" borderId="0">
      <alignment vertical="center"/>
    </xf>
  </cellStyleXfs>
  <cellXfs count="297">
    <xf numFmtId="0" fontId="0" fillId="0" borderId="0" xfId="0">
      <alignment vertical="center"/>
    </xf>
    <xf numFmtId="49" fontId="5" fillId="0" borderId="0" xfId="50" applyNumberFormat="1" applyFont="1" applyFill="1" applyAlignment="1">
      <alignment vertical="center"/>
    </xf>
    <xf numFmtId="49" fontId="7" fillId="0" borderId="0" xfId="50" applyNumberFormat="1" applyFont="1" applyFill="1" applyAlignment="1">
      <alignment vertical="center"/>
    </xf>
    <xf numFmtId="0" fontId="29" fillId="0" borderId="0" xfId="59" applyFont="1" applyAlignment="1" applyProtection="1">
      <alignment vertical="center"/>
      <protection locked="0"/>
    </xf>
    <xf numFmtId="0" fontId="30" fillId="0" borderId="0" xfId="59" applyFont="1" applyAlignment="1" applyProtection="1">
      <alignment vertical="center"/>
      <protection locked="0"/>
    </xf>
    <xf numFmtId="0" fontId="4" fillId="0" borderId="0" xfId="59" applyFont="1"/>
    <xf numFmtId="0" fontId="31" fillId="0" borderId="0" xfId="59" applyFont="1" applyAlignment="1" applyProtection="1">
      <alignment vertical="center"/>
      <protection locked="0"/>
    </xf>
    <xf numFmtId="0" fontId="28" fillId="0" borderId="0" xfId="59" applyFont="1" applyAlignment="1" applyProtection="1">
      <alignment vertical="center"/>
      <protection locked="0"/>
    </xf>
    <xf numFmtId="0" fontId="8" fillId="0" borderId="0" xfId="59" applyFont="1" applyAlignment="1" applyProtection="1">
      <alignment vertical="center"/>
      <protection locked="0"/>
    </xf>
    <xf numFmtId="0" fontId="4" fillId="0" borderId="0" xfId="59" applyFont="1" applyProtection="1">
      <protection locked="0"/>
    </xf>
    <xf numFmtId="0" fontId="30" fillId="0" borderId="0" xfId="59" applyFont="1" applyAlignment="1" applyProtection="1">
      <alignment horizontal="center" vertical="center"/>
      <protection locked="0"/>
    </xf>
    <xf numFmtId="0" fontId="8" fillId="0" borderId="2" xfId="59" applyFont="1" applyBorder="1" applyAlignment="1" applyProtection="1">
      <alignment horizontal="left" vertical="center"/>
    </xf>
    <xf numFmtId="0" fontId="4" fillId="0" borderId="3" xfId="59" applyFont="1" applyBorder="1"/>
    <xf numFmtId="0" fontId="28" fillId="0" borderId="0" xfId="59" applyFont="1" applyProtection="1">
      <protection locked="0"/>
    </xf>
    <xf numFmtId="0" fontId="8" fillId="0" borderId="4" xfId="59" applyFont="1" applyBorder="1" applyAlignment="1" applyProtection="1">
      <alignment horizontal="left" vertical="center"/>
    </xf>
    <xf numFmtId="0" fontId="4" fillId="0" borderId="0" xfId="59" applyFont="1" applyBorder="1"/>
    <xf numFmtId="0" fontId="33" fillId="0" borderId="0" xfId="59" applyFont="1" applyAlignment="1" applyProtection="1">
      <alignment vertical="center"/>
      <protection locked="0"/>
    </xf>
    <xf numFmtId="0" fontId="8" fillId="0" borderId="17" xfId="59" applyFont="1" applyBorder="1" applyAlignment="1" applyProtection="1">
      <alignment horizontal="left" vertical="center"/>
    </xf>
    <xf numFmtId="0" fontId="4" fillId="0" borderId="1" xfId="59" applyFont="1" applyBorder="1"/>
    <xf numFmtId="0" fontId="7" fillId="0" borderId="0" xfId="59" applyFont="1" applyProtection="1">
      <protection locked="0"/>
    </xf>
    <xf numFmtId="0" fontId="34" fillId="0" borderId="0" xfId="59" applyFont="1" applyAlignment="1" applyProtection="1">
      <alignment horizontal="center" vertical="center"/>
      <protection locked="0"/>
    </xf>
    <xf numFmtId="0" fontId="8" fillId="0" borderId="19" xfId="59" applyFont="1" applyBorder="1" applyAlignment="1" applyProtection="1">
      <alignment horizontal="center" vertical="center"/>
      <protection locked="0"/>
    </xf>
    <xf numFmtId="0" fontId="7" fillId="0" borderId="20" xfId="59" applyFont="1" applyBorder="1" applyAlignment="1" applyProtection="1">
      <alignment horizontal="center" vertical="center"/>
      <protection locked="0"/>
    </xf>
    <xf numFmtId="0" fontId="7" fillId="0" borderId="20" xfId="59" applyFont="1" applyBorder="1" applyAlignment="1" applyProtection="1">
      <alignment vertical="center"/>
      <protection locked="0"/>
    </xf>
    <xf numFmtId="0" fontId="8" fillId="0" borderId="20" xfId="59" applyFont="1" applyBorder="1" applyAlignment="1" applyProtection="1">
      <alignment horizontal="center" vertical="center" wrapText="1"/>
    </xf>
    <xf numFmtId="0" fontId="7" fillId="2" borderId="19" xfId="30" applyFont="1" applyFill="1" applyBorder="1" applyAlignment="1">
      <alignment horizontal="center" vertical="center" wrapText="1"/>
    </xf>
    <xf numFmtId="49" fontId="24" fillId="0" borderId="20" xfId="61" applyNumberFormat="1" applyFont="1" applyFill="1" applyBorder="1" applyAlignment="1">
      <alignment horizontal="center" vertical="center" wrapText="1"/>
    </xf>
    <xf numFmtId="0" fontId="28" fillId="0" borderId="0" xfId="59" applyFont="1"/>
    <xf numFmtId="171" fontId="7" fillId="0" borderId="20" xfId="59" applyNumberFormat="1" applyFont="1" applyBorder="1" applyAlignment="1" applyProtection="1">
      <alignment horizontal="center" vertical="center" wrapText="1"/>
      <protection locked="0"/>
    </xf>
    <xf numFmtId="49" fontId="24" fillId="0" borderId="20" xfId="59" applyNumberFormat="1" applyFont="1" applyFill="1" applyBorder="1" applyAlignment="1">
      <alignment horizontal="center" vertical="center" wrapText="1"/>
    </xf>
    <xf numFmtId="0" fontId="4" fillId="0" borderId="0" xfId="59" applyFont="1" applyAlignment="1" applyProtection="1">
      <alignment horizontal="center" vertical="center"/>
      <protection locked="0"/>
    </xf>
    <xf numFmtId="0" fontId="27" fillId="0" borderId="0" xfId="59" applyProtection="1">
      <protection locked="0"/>
    </xf>
    <xf numFmtId="0" fontId="7" fillId="0" borderId="0" xfId="59" applyFont="1" applyBorder="1" applyAlignment="1" applyProtection="1">
      <alignment horizontal="left"/>
      <protection locked="0"/>
    </xf>
    <xf numFmtId="0" fontId="7" fillId="0" borderId="0" xfId="59" applyFont="1" applyAlignment="1" applyProtection="1">
      <alignment horizontal="left"/>
      <protection locked="0"/>
    </xf>
    <xf numFmtId="173" fontId="7" fillId="0" borderId="19" xfId="1" applyNumberFormat="1" applyFont="1" applyBorder="1" applyAlignment="1" applyProtection="1">
      <alignment horizontal="center" vertical="center" wrapText="1"/>
    </xf>
    <xf numFmtId="0" fontId="5" fillId="0" borderId="0" xfId="50" applyNumberFormat="1" applyFont="1" applyFill="1" applyAlignment="1">
      <alignment vertical="center"/>
    </xf>
    <xf numFmtId="0" fontId="37" fillId="2" borderId="0" xfId="62" applyFont="1" applyFill="1" applyAlignment="1">
      <alignment vertical="center"/>
    </xf>
    <xf numFmtId="174" fontId="37" fillId="2" borderId="0" xfId="2" applyNumberFormat="1" applyFont="1" applyFill="1" applyAlignment="1">
      <alignment vertical="center"/>
    </xf>
    <xf numFmtId="0" fontId="4" fillId="2" borderId="0" xfId="62" applyFont="1" applyFill="1" applyAlignment="1">
      <alignment vertical="center"/>
    </xf>
    <xf numFmtId="0" fontId="38" fillId="2" borderId="0" xfId="62" applyFont="1" applyFill="1" applyAlignment="1">
      <alignment vertical="center"/>
    </xf>
    <xf numFmtId="174" fontId="38" fillId="2" borderId="0" xfId="2" applyNumberFormat="1" applyFont="1" applyFill="1" applyAlignment="1">
      <alignment vertical="center"/>
    </xf>
    <xf numFmtId="0" fontId="39" fillId="2" borderId="0" xfId="62" applyFont="1" applyFill="1" applyAlignment="1">
      <alignment vertical="center"/>
    </xf>
    <xf numFmtId="0" fontId="8" fillId="3" borderId="29" xfId="62" applyFont="1" applyFill="1" applyBorder="1" applyAlignment="1">
      <alignment horizontal="center" vertical="center"/>
    </xf>
    <xf numFmtId="0" fontId="25" fillId="3" borderId="30" xfId="62" applyFont="1" applyFill="1" applyBorder="1" applyAlignment="1">
      <alignment horizontal="center" vertical="center"/>
    </xf>
    <xf numFmtId="0" fontId="8" fillId="0" borderId="34" xfId="25" applyFont="1" applyFill="1" applyBorder="1" applyAlignment="1">
      <alignment horizontal="center" vertical="center"/>
    </xf>
    <xf numFmtId="0" fontId="8" fillId="0" borderId="35" xfId="25" applyFont="1" applyFill="1" applyBorder="1" applyAlignment="1">
      <alignment horizontal="center" vertical="center"/>
    </xf>
    <xf numFmtId="178" fontId="24" fillId="2" borderId="16" xfId="25" applyNumberFormat="1" applyFont="1" applyFill="1" applyBorder="1" applyAlignment="1">
      <alignment horizontal="right" vertical="center"/>
    </xf>
    <xf numFmtId="178" fontId="24" fillId="2" borderId="36" xfId="25" applyNumberFormat="1" applyFont="1" applyFill="1" applyBorder="1" applyAlignment="1">
      <alignment horizontal="right" vertical="center"/>
    </xf>
    <xf numFmtId="0" fontId="26" fillId="2" borderId="4" xfId="62" applyFont="1" applyFill="1" applyBorder="1" applyAlignment="1">
      <alignment horizontal="right" vertical="center"/>
    </xf>
    <xf numFmtId="0" fontId="26" fillId="2" borderId="0" xfId="62" applyFont="1" applyFill="1" applyBorder="1" applyAlignment="1">
      <alignment horizontal="center" vertical="center" wrapText="1"/>
    </xf>
    <xf numFmtId="43" fontId="5" fillId="2" borderId="0" xfId="2" applyNumberFormat="1" applyFont="1" applyFill="1" applyBorder="1" applyAlignment="1">
      <alignment vertical="center"/>
    </xf>
    <xf numFmtId="43" fontId="43" fillId="2" borderId="13" xfId="2" applyNumberFormat="1" applyFont="1" applyFill="1" applyBorder="1" applyAlignment="1">
      <alignment horizontal="center" vertical="center"/>
    </xf>
    <xf numFmtId="0" fontId="24" fillId="2" borderId="0" xfId="62" applyFont="1" applyFill="1" applyAlignment="1">
      <alignment vertical="center"/>
    </xf>
    <xf numFmtId="0" fontId="7" fillId="2" borderId="0" xfId="62" applyFont="1" applyFill="1" applyAlignment="1">
      <alignment vertical="center"/>
    </xf>
    <xf numFmtId="0" fontId="6" fillId="2" borderId="4" xfId="62" applyFont="1" applyFill="1" applyBorder="1" applyAlignment="1">
      <alignment horizontal="right" vertical="center"/>
    </xf>
    <xf numFmtId="0" fontId="45" fillId="2" borderId="4" xfId="25" applyFont="1" applyFill="1" applyBorder="1" applyAlignment="1"/>
    <xf numFmtId="0" fontId="45" fillId="2" borderId="0" xfId="25" applyFont="1" applyFill="1" applyBorder="1" applyAlignment="1"/>
    <xf numFmtId="0" fontId="45" fillId="2" borderId="0" xfId="62" applyFont="1" applyFill="1" applyBorder="1" applyAlignment="1">
      <alignment vertical="center"/>
    </xf>
    <xf numFmtId="0" fontId="45" fillId="2" borderId="0" xfId="62" applyFont="1" applyFill="1" applyBorder="1" applyAlignment="1">
      <alignment horizontal="center" vertical="center"/>
    </xf>
    <xf numFmtId="0" fontId="45" fillId="2" borderId="0" xfId="62" applyFont="1" applyFill="1" applyBorder="1" applyAlignment="1">
      <alignment horizontal="left" vertical="center"/>
    </xf>
    <xf numFmtId="0" fontId="37" fillId="2" borderId="13" xfId="62" applyFont="1" applyFill="1" applyBorder="1" applyAlignment="1">
      <alignment vertical="center"/>
    </xf>
    <xf numFmtId="0" fontId="4" fillId="2" borderId="0" xfId="62" applyFont="1" applyFill="1" applyAlignment="1">
      <alignment horizontal="center" vertical="center"/>
    </xf>
    <xf numFmtId="0" fontId="4" fillId="2" borderId="0" xfId="62" applyFont="1" applyFill="1" applyAlignment="1">
      <alignment horizontal="left" vertical="center"/>
    </xf>
    <xf numFmtId="0" fontId="4" fillId="2" borderId="20" xfId="63" applyNumberFormat="1" applyFont="1" applyFill="1" applyBorder="1" applyAlignment="1">
      <alignment horizontal="right" vertical="center"/>
    </xf>
    <xf numFmtId="43" fontId="4" fillId="2" borderId="20" xfId="2" applyFont="1" applyFill="1" applyBorder="1" applyAlignment="1">
      <alignment horizontal="center" vertical="center"/>
    </xf>
    <xf numFmtId="0" fontId="7" fillId="2" borderId="20" xfId="63" applyNumberFormat="1" applyFont="1" applyFill="1" applyBorder="1" applyAlignment="1">
      <alignment horizontal="right" vertical="center"/>
    </xf>
    <xf numFmtId="0" fontId="7" fillId="0" borderId="13" xfId="59" applyFont="1" applyBorder="1"/>
    <xf numFmtId="0" fontId="7" fillId="0" borderId="18" xfId="59" applyFont="1" applyBorder="1"/>
    <xf numFmtId="0" fontId="7" fillId="0" borderId="21" xfId="59" quotePrefix="1" applyFont="1" applyBorder="1" applyAlignment="1" applyProtection="1">
      <alignment shrinkToFit="1"/>
      <protection locked="0"/>
    </xf>
    <xf numFmtId="14" fontId="7" fillId="0" borderId="0" xfId="59" applyNumberFormat="1" applyFont="1" applyBorder="1" applyAlignment="1" applyProtection="1">
      <alignment horizontal="left"/>
      <protection locked="0"/>
    </xf>
    <xf numFmtId="0" fontId="7" fillId="0" borderId="1" xfId="59" applyFont="1" applyBorder="1" applyAlignment="1" applyProtection="1">
      <alignment horizontal="left"/>
      <protection locked="0"/>
    </xf>
    <xf numFmtId="0" fontId="8" fillId="0" borderId="20" xfId="59" applyFont="1" applyBorder="1" applyAlignment="1" applyProtection="1">
      <alignment horizontal="center" vertical="center"/>
    </xf>
    <xf numFmtId="171" fontId="7" fillId="0" borderId="20" xfId="59" applyNumberFormat="1" applyFont="1" applyBorder="1" applyAlignment="1" applyProtection="1">
      <alignment horizontal="right" vertical="center" wrapText="1"/>
      <protection locked="0"/>
    </xf>
    <xf numFmtId="0" fontId="7" fillId="0" borderId="0" xfId="59" applyFont="1"/>
    <xf numFmtId="0" fontId="7" fillId="2" borderId="0" xfId="63" applyFont="1" applyFill="1" applyBorder="1" applyAlignment="1">
      <alignment vertical="center"/>
    </xf>
    <xf numFmtId="0" fontId="7" fillId="2" borderId="4" xfId="63" applyFont="1" applyFill="1" applyBorder="1" applyAlignment="1">
      <alignment vertical="center"/>
    </xf>
    <xf numFmtId="0" fontId="5" fillId="2" borderId="4" xfId="25" applyFont="1" applyFill="1" applyBorder="1" applyAlignment="1">
      <alignment vertical="center"/>
    </xf>
    <xf numFmtId="0" fontId="5" fillId="2" borderId="0" xfId="25" applyFont="1" applyFill="1" applyBorder="1" applyAlignment="1">
      <alignment vertical="center"/>
    </xf>
    <xf numFmtId="43" fontId="6" fillId="2" borderId="22" xfId="2" applyFont="1" applyFill="1" applyBorder="1" applyAlignment="1">
      <alignment vertical="center"/>
    </xf>
    <xf numFmtId="0" fontId="7" fillId="2" borderId="0" xfId="25" applyFont="1" applyFill="1" applyBorder="1" applyAlignment="1">
      <alignment vertical="center"/>
    </xf>
    <xf numFmtId="0" fontId="6" fillId="2" borderId="0" xfId="62" applyFont="1" applyFill="1" applyBorder="1" applyAlignment="1">
      <alignment horizontal="left" vertical="center"/>
    </xf>
    <xf numFmtId="0" fontId="40" fillId="2" borderId="13" xfId="62" applyFont="1" applyFill="1" applyBorder="1" applyAlignment="1">
      <alignment vertical="center"/>
    </xf>
    <xf numFmtId="0" fontId="7" fillId="2" borderId="4" xfId="25" applyFont="1" applyFill="1" applyBorder="1" applyAlignment="1">
      <alignment vertical="center"/>
    </xf>
    <xf numFmtId="0" fontId="7" fillId="2" borderId="7" xfId="25" applyFont="1" applyFill="1" applyBorder="1" applyAlignment="1">
      <alignment vertical="center"/>
    </xf>
    <xf numFmtId="0" fontId="6" fillId="2" borderId="4" xfId="25" applyFont="1" applyFill="1" applyBorder="1" applyAlignment="1">
      <alignment vertical="center"/>
    </xf>
    <xf numFmtId="0" fontId="6" fillId="2" borderId="0" xfId="25" applyFont="1" applyFill="1" applyBorder="1" applyAlignment="1">
      <alignment vertical="center"/>
    </xf>
    <xf numFmtId="0" fontId="6" fillId="2" borderId="0" xfId="62" applyFont="1" applyFill="1" applyBorder="1" applyAlignment="1">
      <alignment vertical="top"/>
    </xf>
    <xf numFmtId="0" fontId="6" fillId="2" borderId="13" xfId="62" applyFont="1" applyFill="1" applyBorder="1" applyAlignment="1">
      <alignment vertical="top"/>
    </xf>
    <xf numFmtId="0" fontId="6" fillId="2" borderId="22" xfId="62" applyFont="1" applyFill="1" applyBorder="1" applyAlignment="1">
      <alignment vertical="top"/>
    </xf>
    <xf numFmtId="49" fontId="5" fillId="2" borderId="4" xfId="25" applyNumberFormat="1" applyFont="1" applyFill="1" applyBorder="1" applyAlignment="1">
      <alignment vertical="center"/>
    </xf>
    <xf numFmtId="0" fontId="5" fillId="2" borderId="5" xfId="25" applyFont="1" applyFill="1" applyBorder="1" applyAlignment="1">
      <alignment vertical="center"/>
    </xf>
    <xf numFmtId="0" fontId="7" fillId="2" borderId="5" xfId="25" applyFont="1" applyFill="1" applyBorder="1" applyAlignment="1">
      <alignment vertical="center"/>
    </xf>
    <xf numFmtId="0" fontId="7" fillId="2" borderId="8" xfId="25" applyFont="1" applyFill="1" applyBorder="1" applyAlignment="1">
      <alignment vertical="center"/>
    </xf>
    <xf numFmtId="0" fontId="7" fillId="0" borderId="19" xfId="25" applyFont="1" applyFill="1" applyBorder="1" applyAlignment="1">
      <alignment horizontal="center" vertical="center"/>
    </xf>
    <xf numFmtId="0" fontId="7" fillId="0" borderId="20" xfId="25" applyFont="1" applyFill="1" applyBorder="1" applyAlignment="1">
      <alignment horizontal="center" vertical="center"/>
    </xf>
    <xf numFmtId="43" fontId="7" fillId="2" borderId="20" xfId="2" applyFont="1" applyFill="1" applyBorder="1" applyAlignment="1">
      <alignment horizontal="left" vertical="center"/>
    </xf>
    <xf numFmtId="43" fontId="8" fillId="3" borderId="20" xfId="2" applyFont="1" applyFill="1" applyBorder="1" applyAlignment="1">
      <alignment horizontal="left" vertical="center"/>
    </xf>
    <xf numFmtId="43" fontId="8" fillId="3" borderId="20" xfId="2" applyFont="1" applyFill="1" applyBorder="1" applyAlignment="1">
      <alignment horizontal="right" vertical="center"/>
    </xf>
    <xf numFmtId="43" fontId="4" fillId="2" borderId="16" xfId="2" applyFont="1" applyFill="1" applyBorder="1" applyAlignment="1">
      <alignment horizontal="center" vertical="center"/>
    </xf>
    <xf numFmtId="43" fontId="7" fillId="2" borderId="16" xfId="2" applyFont="1" applyFill="1" applyBorder="1" applyAlignment="1">
      <alignment horizontal="left" vertical="center"/>
    </xf>
    <xf numFmtId="0" fontId="6" fillId="2" borderId="9" xfId="63" applyFont="1" applyFill="1" applyBorder="1" applyAlignment="1">
      <alignment vertical="center"/>
    </xf>
    <xf numFmtId="0" fontId="6" fillId="2" borderId="10" xfId="63" applyFont="1" applyFill="1" applyBorder="1" applyAlignment="1">
      <alignment vertical="center"/>
    </xf>
    <xf numFmtId="0" fontId="41" fillId="2" borderId="9" xfId="25" applyFont="1" applyFill="1" applyBorder="1" applyAlignment="1">
      <alignment vertical="center"/>
    </xf>
    <xf numFmtId="0" fontId="41" fillId="2" borderId="10" xfId="25" applyFont="1" applyFill="1" applyBorder="1" applyAlignment="1">
      <alignment vertical="center"/>
    </xf>
    <xf numFmtId="0" fontId="41" fillId="2" borderId="11" xfId="25" applyFont="1" applyFill="1" applyBorder="1" applyAlignment="1">
      <alignment vertical="center"/>
    </xf>
    <xf numFmtId="49" fontId="5" fillId="0" borderId="0" xfId="50" applyNumberFormat="1" applyFont="1" applyFill="1" applyAlignment="1">
      <alignment horizontal="center" vertical="center"/>
    </xf>
    <xf numFmtId="49" fontId="7" fillId="0" borderId="0" xfId="50" applyNumberFormat="1" applyFont="1" applyFill="1" applyAlignment="1">
      <alignment horizontal="center" vertical="center"/>
    </xf>
    <xf numFmtId="0" fontId="29" fillId="0" borderId="0" xfId="59" applyFont="1" applyFill="1" applyAlignment="1" applyProtection="1">
      <alignment horizontal="center" vertical="center"/>
      <protection locked="0"/>
    </xf>
    <xf numFmtId="0" fontId="29" fillId="0" borderId="0" xfId="59" applyFont="1" applyFill="1" applyAlignment="1" applyProtection="1">
      <alignment vertical="center"/>
      <protection locked="0"/>
    </xf>
    <xf numFmtId="0" fontId="30" fillId="0" borderId="0" xfId="59" applyFont="1" applyFill="1" applyAlignment="1" applyProtection="1">
      <alignment vertical="center"/>
      <protection locked="0"/>
    </xf>
    <xf numFmtId="0" fontId="10" fillId="0" borderId="0" xfId="59" applyFont="1" applyFill="1" applyAlignment="1" applyProtection="1">
      <alignment vertical="center"/>
      <protection locked="0"/>
    </xf>
    <xf numFmtId="0" fontId="31" fillId="0" borderId="0" xfId="59" applyFont="1" applyFill="1" applyAlignment="1" applyProtection="1">
      <alignment horizontal="center" vertical="center"/>
      <protection locked="0"/>
    </xf>
    <xf numFmtId="0" fontId="31" fillId="0" borderId="0" xfId="59" applyFont="1" applyFill="1" applyAlignment="1" applyProtection="1">
      <alignment vertical="center"/>
      <protection locked="0"/>
    </xf>
    <xf numFmtId="0" fontId="28" fillId="0" borderId="0" xfId="59" applyFont="1" applyFill="1" applyAlignment="1" applyProtection="1">
      <alignment vertical="center"/>
      <protection locked="0"/>
    </xf>
    <xf numFmtId="0" fontId="34" fillId="0" borderId="0" xfId="59" applyFont="1" applyFill="1" applyAlignment="1" applyProtection="1">
      <alignment vertical="center"/>
      <protection locked="0"/>
    </xf>
    <xf numFmtId="0" fontId="7" fillId="0" borderId="0" xfId="63" applyFont="1" applyFill="1" applyBorder="1" applyAlignment="1">
      <alignment horizontal="center" vertical="center"/>
    </xf>
    <xf numFmtId="0" fontId="7" fillId="0" borderId="0" xfId="63" applyFont="1" applyFill="1" applyBorder="1" applyAlignment="1">
      <alignment vertical="center"/>
    </xf>
    <xf numFmtId="0" fontId="4" fillId="0" borderId="0" xfId="59" applyFont="1" applyFill="1" applyProtection="1">
      <protection locked="0"/>
    </xf>
    <xf numFmtId="0" fontId="4" fillId="0" borderId="0" xfId="59" applyFont="1" applyFill="1" applyAlignment="1" applyProtection="1">
      <alignment horizontal="center"/>
      <protection locked="0"/>
    </xf>
    <xf numFmtId="0" fontId="32" fillId="0" borderId="0" xfId="59" applyFont="1" applyFill="1" applyAlignment="1" applyProtection="1">
      <alignment vertical="center"/>
      <protection locked="0"/>
    </xf>
    <xf numFmtId="0" fontId="33" fillId="0" borderId="0" xfId="59" applyFont="1" applyFill="1" applyAlignment="1" applyProtection="1">
      <alignment vertical="center"/>
      <protection locked="0"/>
    </xf>
    <xf numFmtId="0" fontId="8" fillId="0" borderId="0" xfId="59" applyFont="1" applyFill="1" applyProtection="1">
      <protection locked="0"/>
    </xf>
    <xf numFmtId="0" fontId="10" fillId="0" borderId="0" xfId="59" applyFont="1" applyFill="1" applyAlignment="1" applyProtection="1">
      <alignment horizontal="center"/>
      <protection locked="0"/>
    </xf>
    <xf numFmtId="0" fontId="34" fillId="0" borderId="0" xfId="59" applyFont="1" applyFill="1" applyProtection="1">
      <protection locked="0"/>
    </xf>
    <xf numFmtId="0" fontId="28" fillId="0" borderId="0" xfId="59" applyFont="1" applyFill="1" applyProtection="1">
      <protection locked="0"/>
    </xf>
    <xf numFmtId="0" fontId="8" fillId="0" borderId="20" xfId="59" applyFont="1" applyFill="1" applyBorder="1" applyAlignment="1" applyProtection="1">
      <alignment horizontal="center" vertical="center"/>
      <protection locked="0"/>
    </xf>
    <xf numFmtId="0" fontId="8" fillId="0" borderId="19" xfId="59" applyFont="1" applyFill="1" applyBorder="1" applyAlignment="1" applyProtection="1">
      <alignment horizontal="center" vertical="center"/>
      <protection locked="0"/>
    </xf>
    <xf numFmtId="0" fontId="8" fillId="0" borderId="20" xfId="59" applyFont="1" applyFill="1" applyBorder="1" applyAlignment="1" applyProtection="1">
      <alignment horizontal="center" vertical="center" wrapText="1"/>
    </xf>
    <xf numFmtId="0" fontId="7" fillId="0" borderId="19" xfId="59" applyFont="1" applyFill="1" applyBorder="1" applyAlignment="1" applyProtection="1">
      <alignment horizontal="center" vertical="center" wrapText="1"/>
    </xf>
    <xf numFmtId="0" fontId="7" fillId="0" borderId="0" xfId="59" applyFont="1" applyFill="1"/>
    <xf numFmtId="0" fontId="7" fillId="0" borderId="0" xfId="59" applyFont="1" applyFill="1" applyAlignment="1">
      <alignment horizontal="center"/>
    </xf>
    <xf numFmtId="0" fontId="4" fillId="0" borderId="0" xfId="59" applyFont="1" applyFill="1"/>
    <xf numFmtId="0" fontId="4" fillId="0" borderId="0" xfId="59" applyFont="1" applyFill="1" applyAlignment="1">
      <alignment horizontal="center"/>
    </xf>
    <xf numFmtId="49" fontId="7" fillId="2" borderId="4" xfId="25" applyNumberFormat="1" applyFont="1" applyFill="1" applyBorder="1" applyAlignment="1">
      <alignment vertical="center"/>
    </xf>
    <xf numFmtId="0" fontId="37" fillId="2" borderId="0" xfId="62" applyFont="1" applyFill="1" applyAlignment="1">
      <alignment horizontal="center" vertical="center"/>
    </xf>
    <xf numFmtId="0" fontId="38" fillId="2" borderId="0" xfId="62" applyFont="1" applyFill="1" applyAlignment="1">
      <alignment horizontal="center" vertical="center"/>
    </xf>
    <xf numFmtId="3" fontId="24" fillId="2" borderId="0" xfId="25" applyNumberFormat="1" applyFont="1" applyFill="1" applyAlignment="1">
      <alignment horizontal="center"/>
    </xf>
    <xf numFmtId="0" fontId="24" fillId="2" borderId="0" xfId="25" applyFont="1" applyFill="1" applyAlignment="1">
      <alignment horizontal="center"/>
    </xf>
    <xf numFmtId="179" fontId="37" fillId="2" borderId="0" xfId="68" applyNumberFormat="1" applyFont="1" applyFill="1" applyAlignment="1">
      <alignment horizontal="center" vertical="center"/>
    </xf>
    <xf numFmtId="0" fontId="24" fillId="2" borderId="0" xfId="62" applyFont="1" applyFill="1" applyAlignment="1">
      <alignment horizontal="center" vertical="center"/>
    </xf>
    <xf numFmtId="49" fontId="7" fillId="0" borderId="0" xfId="50" applyNumberFormat="1" applyFont="1" applyFill="1" applyAlignment="1">
      <alignment horizontal="left" vertical="center"/>
    </xf>
    <xf numFmtId="171" fontId="7" fillId="0" borderId="0" xfId="59" applyNumberFormat="1" applyFont="1" applyBorder="1" applyAlignment="1" applyProtection="1">
      <alignment horizontal="left"/>
      <protection locked="0"/>
    </xf>
    <xf numFmtId="0" fontId="5" fillId="0" borderId="0" xfId="59" applyFont="1" applyFill="1" applyBorder="1" applyAlignment="1" applyProtection="1">
      <alignment horizontal="left" vertical="center"/>
      <protection locked="0"/>
    </xf>
    <xf numFmtId="0" fontId="8" fillId="0" borderId="0" xfId="59" applyFont="1" applyFill="1" applyBorder="1" applyAlignment="1" applyProtection="1">
      <alignment horizontal="left" vertical="center"/>
      <protection locked="0"/>
    </xf>
    <xf numFmtId="0" fontId="7" fillId="0" borderId="0" xfId="63" applyFont="1" applyFill="1" applyBorder="1" applyAlignment="1">
      <alignment horizontal="left" vertical="center"/>
    </xf>
    <xf numFmtId="0" fontId="49" fillId="0" borderId="0" xfId="0" applyFont="1">
      <alignment vertical="center"/>
    </xf>
    <xf numFmtId="43" fontId="42" fillId="2" borderId="0" xfId="2" applyNumberFormat="1" applyFont="1" applyFill="1" applyBorder="1" applyAlignment="1">
      <alignment horizontal="center" vertical="center"/>
    </xf>
    <xf numFmtId="165" fontId="37" fillId="2" borderId="0" xfId="1" applyFont="1" applyFill="1" applyAlignment="1">
      <alignment vertical="center"/>
    </xf>
    <xf numFmtId="172" fontId="7" fillId="0" borderId="20" xfId="59" applyNumberFormat="1" applyFont="1" applyBorder="1" applyAlignment="1" applyProtection="1">
      <alignment horizontal="right" vertical="center" wrapText="1"/>
      <protection locked="0"/>
    </xf>
    <xf numFmtId="0" fontId="6" fillId="2" borderId="0" xfId="62" applyFont="1" applyFill="1" applyBorder="1" applyAlignment="1">
      <alignment horizontal="right" vertical="center"/>
    </xf>
    <xf numFmtId="0" fontId="6" fillId="2" borderId="13" xfId="62" applyFont="1" applyFill="1" applyBorder="1" applyAlignment="1">
      <alignment horizontal="right" vertical="center"/>
    </xf>
    <xf numFmtId="0" fontId="6" fillId="2" borderId="17" xfId="62" applyFont="1" applyFill="1" applyBorder="1" applyAlignment="1">
      <alignment horizontal="right" vertical="center"/>
    </xf>
    <xf numFmtId="0" fontId="6" fillId="2" borderId="1" xfId="62" applyFont="1" applyFill="1" applyBorder="1" applyAlignment="1">
      <alignment horizontal="right" vertical="center"/>
    </xf>
    <xf numFmtId="0" fontId="6" fillId="2" borderId="18" xfId="62" applyFont="1" applyFill="1" applyBorder="1" applyAlignment="1">
      <alignment horizontal="right" vertical="center"/>
    </xf>
    <xf numFmtId="0" fontId="8" fillId="2" borderId="13" xfId="62" applyFont="1" applyFill="1" applyBorder="1" applyAlignment="1">
      <alignment horizontal="right" vertical="center"/>
    </xf>
    <xf numFmtId="0" fontId="6" fillId="2" borderId="22" xfId="62" applyFont="1" applyFill="1" applyBorder="1" applyAlignment="1">
      <alignment vertical="center"/>
    </xf>
    <xf numFmtId="0" fontId="8" fillId="0" borderId="19" xfId="59" applyFont="1" applyFill="1" applyBorder="1" applyAlignment="1" applyProtection="1">
      <alignment horizontal="center" vertical="center" wrapText="1"/>
    </xf>
    <xf numFmtId="0" fontId="8" fillId="0" borderId="20" xfId="59" applyFont="1" applyFill="1" applyBorder="1" applyAlignment="1" applyProtection="1">
      <alignment horizontal="center"/>
      <protection locked="0"/>
    </xf>
    <xf numFmtId="49" fontId="8" fillId="0" borderId="20" xfId="59" applyNumberFormat="1" applyFont="1" applyFill="1" applyBorder="1" applyAlignment="1" applyProtection="1">
      <alignment horizontal="center"/>
      <protection locked="0"/>
    </xf>
    <xf numFmtId="0" fontId="8" fillId="0" borderId="20" xfId="59" applyFont="1" applyBorder="1" applyAlignment="1" applyProtection="1">
      <alignment horizontal="center"/>
      <protection locked="0"/>
    </xf>
    <xf numFmtId="173" fontId="8" fillId="0" borderId="19" xfId="1" applyNumberFormat="1" applyFont="1" applyFill="1" applyBorder="1" applyAlignment="1">
      <alignment horizontal="center" vertical="center"/>
    </xf>
    <xf numFmtId="0" fontId="8" fillId="0" borderId="19" xfId="30" applyFont="1" applyFill="1" applyBorder="1" applyAlignment="1">
      <alignment horizontal="center" vertical="center"/>
    </xf>
    <xf numFmtId="171" fontId="8" fillId="0" borderId="20" xfId="59" applyNumberFormat="1" applyFont="1" applyBorder="1" applyAlignment="1" applyProtection="1">
      <alignment horizontal="center" vertical="center" wrapText="1"/>
      <protection locked="0"/>
    </xf>
    <xf numFmtId="172" fontId="8" fillId="0" borderId="20" xfId="59" applyNumberFormat="1" applyFont="1" applyBorder="1" applyAlignment="1" applyProtection="1">
      <alignment horizontal="center" vertical="center" wrapText="1"/>
      <protection locked="0"/>
    </xf>
    <xf numFmtId="0" fontId="5" fillId="0" borderId="0" xfId="59" applyFont="1"/>
    <xf numFmtId="0" fontId="7" fillId="2" borderId="6" xfId="63" applyFont="1" applyFill="1" applyBorder="1" applyAlignment="1">
      <alignment vertical="center"/>
    </xf>
    <xf numFmtId="0" fontId="7" fillId="2" borderId="7" xfId="63" applyFont="1" applyFill="1" applyBorder="1" applyAlignment="1">
      <alignment vertical="center"/>
    </xf>
    <xf numFmtId="43" fontId="6" fillId="2" borderId="15" xfId="2" applyFont="1" applyFill="1" applyBorder="1" applyAlignment="1">
      <alignment horizontal="left" vertical="center"/>
    </xf>
    <xf numFmtId="0" fontId="7" fillId="2" borderId="7" xfId="62" applyFont="1" applyFill="1" applyBorder="1" applyAlignment="1">
      <alignment horizontal="center" vertical="center"/>
    </xf>
    <xf numFmtId="0" fontId="7" fillId="0" borderId="0" xfId="59" applyFont="1" applyFill="1" applyProtection="1">
      <protection locked="0"/>
    </xf>
    <xf numFmtId="0" fontId="27" fillId="0" borderId="0" xfId="59" applyAlignment="1" applyProtection="1">
      <protection locked="0"/>
    </xf>
    <xf numFmtId="0" fontId="37" fillId="2" borderId="0" xfId="62" applyFont="1" applyFill="1" applyAlignment="1">
      <alignment horizontal="left" vertical="center"/>
    </xf>
    <xf numFmtId="173" fontId="8" fillId="3" borderId="20" xfId="1" applyNumberFormat="1" applyFont="1" applyFill="1" applyBorder="1" applyAlignment="1">
      <alignment horizontal="right" vertical="center"/>
    </xf>
    <xf numFmtId="0" fontId="50" fillId="0" borderId="3" xfId="0" applyFont="1" applyBorder="1">
      <alignment vertical="center"/>
    </xf>
    <xf numFmtId="14" fontId="7" fillId="0" borderId="0" xfId="59" quotePrefix="1" applyNumberFormat="1" applyFont="1" applyBorder="1" applyAlignment="1" applyProtection="1">
      <alignment horizontal="left"/>
      <protection locked="0"/>
    </xf>
    <xf numFmtId="0" fontId="51" fillId="2" borderId="2" xfId="25" applyFont="1" applyFill="1" applyBorder="1"/>
    <xf numFmtId="0" fontId="45" fillId="2" borderId="3" xfId="25" applyFont="1" applyFill="1" applyBorder="1"/>
    <xf numFmtId="0" fontId="45" fillId="2" borderId="3" xfId="25" applyFont="1" applyFill="1" applyBorder="1" applyAlignment="1">
      <alignment horizontal="center"/>
    </xf>
    <xf numFmtId="43" fontId="45" fillId="2" borderId="3" xfId="2" applyNumberFormat="1" applyFont="1" applyFill="1" applyBorder="1" applyAlignment="1">
      <alignment vertical="center"/>
    </xf>
    <xf numFmtId="43" fontId="52" fillId="2" borderId="3" xfId="2" applyNumberFormat="1" applyFont="1" applyFill="1" applyBorder="1" applyAlignment="1">
      <alignment horizontal="center" vertical="center"/>
    </xf>
    <xf numFmtId="43" fontId="52" fillId="2" borderId="21" xfId="2" applyNumberFormat="1" applyFont="1" applyFill="1" applyBorder="1" applyAlignment="1">
      <alignment horizontal="center" vertical="center"/>
    </xf>
    <xf numFmtId="0" fontId="44" fillId="2" borderId="4" xfId="25" applyFont="1" applyFill="1" applyBorder="1"/>
    <xf numFmtId="0" fontId="44" fillId="2" borderId="0" xfId="25" applyFont="1" applyFill="1" applyBorder="1"/>
    <xf numFmtId="0" fontId="44" fillId="2" borderId="0" xfId="25" applyFont="1" applyFill="1" applyBorder="1" applyAlignment="1">
      <alignment horizontal="center"/>
    </xf>
    <xf numFmtId="43" fontId="45" fillId="2" borderId="0" xfId="2" applyNumberFormat="1" applyFont="1" applyFill="1" applyBorder="1" applyAlignment="1">
      <alignment vertical="center"/>
    </xf>
    <xf numFmtId="43" fontId="53" fillId="2" borderId="0" xfId="2" applyNumberFormat="1" applyFont="1" applyFill="1" applyBorder="1" applyAlignment="1">
      <alignment horizontal="center" vertical="center"/>
    </xf>
    <xf numFmtId="43" fontId="53" fillId="2" borderId="13" xfId="2" applyNumberFormat="1" applyFont="1" applyFill="1" applyBorder="1" applyAlignment="1">
      <alignment horizontal="center" vertical="center"/>
    </xf>
    <xf numFmtId="0" fontId="44" fillId="2" borderId="0" xfId="25" applyFont="1" applyFill="1" applyBorder="1" applyAlignment="1">
      <alignment horizontal="left" vertical="center" wrapText="1"/>
    </xf>
    <xf numFmtId="0" fontId="54" fillId="2" borderId="4" xfId="25" applyFont="1" applyFill="1" applyBorder="1"/>
    <xf numFmtId="0" fontId="51" fillId="2" borderId="4" xfId="25" applyFont="1" applyFill="1" applyBorder="1"/>
    <xf numFmtId="0" fontId="51" fillId="2" borderId="0" xfId="25" applyFont="1" applyFill="1" applyBorder="1"/>
    <xf numFmtId="0" fontId="51" fillId="2" borderId="0" xfId="25" applyFont="1" applyFill="1" applyBorder="1" applyAlignment="1">
      <alignment horizontal="center"/>
    </xf>
    <xf numFmtId="43" fontId="51" fillId="2" borderId="0" xfId="2" applyNumberFormat="1" applyFont="1" applyFill="1" applyBorder="1" applyAlignment="1">
      <alignment vertical="center"/>
    </xf>
    <xf numFmtId="43" fontId="55" fillId="2" borderId="0" xfId="2" applyNumberFormat="1" applyFont="1" applyFill="1" applyBorder="1" applyAlignment="1">
      <alignment horizontal="center" vertical="center"/>
    </xf>
    <xf numFmtId="43" fontId="55" fillId="2" borderId="13" xfId="2" applyNumberFormat="1" applyFont="1" applyFill="1" applyBorder="1" applyAlignment="1">
      <alignment horizontal="center" vertical="center"/>
    </xf>
    <xf numFmtId="49" fontId="24" fillId="0" borderId="20" xfId="59" applyNumberFormat="1" applyFont="1" applyFill="1" applyBorder="1" applyAlignment="1">
      <alignment horizontal="center" vertical="center"/>
    </xf>
    <xf numFmtId="0" fontId="7" fillId="0" borderId="0" xfId="59" applyFont="1" applyAlignment="1" applyProtection="1">
      <protection locked="0"/>
    </xf>
    <xf numFmtId="0" fontId="4" fillId="0" borderId="0" xfId="59" applyFont="1" applyFill="1" applyAlignment="1"/>
    <xf numFmtId="0" fontId="8" fillId="0" borderId="19" xfId="59" applyFont="1" applyFill="1" applyBorder="1" applyAlignment="1" applyProtection="1">
      <alignment horizontal="center" vertical="center"/>
    </xf>
    <xf numFmtId="49" fontId="37" fillId="2" borderId="0" xfId="68" applyNumberFormat="1" applyFont="1" applyFill="1" applyAlignment="1">
      <alignment horizontal="center" vertical="center"/>
    </xf>
    <xf numFmtId="2" fontId="48" fillId="0" borderId="0" xfId="59" applyNumberFormat="1" applyFont="1"/>
    <xf numFmtId="0" fontId="7" fillId="0" borderId="19" xfId="59" applyFont="1" applyFill="1" applyBorder="1" applyAlignment="1" applyProtection="1">
      <alignment horizontal="center" vertical="center"/>
    </xf>
    <xf numFmtId="0" fontId="7" fillId="0" borderId="19" xfId="59" applyFont="1" applyFill="1" applyBorder="1" applyAlignment="1" applyProtection="1">
      <alignment horizontal="left" vertical="center"/>
    </xf>
    <xf numFmtId="0" fontId="34" fillId="0" borderId="2" xfId="59" applyFont="1" applyBorder="1" applyAlignment="1" applyProtection="1">
      <alignment horizontal="right"/>
    </xf>
    <xf numFmtId="0" fontId="34" fillId="0" borderId="3" xfId="59" applyFont="1" applyBorder="1" applyAlignment="1" applyProtection="1">
      <alignment horizontal="right"/>
    </xf>
    <xf numFmtId="173" fontId="34" fillId="0" borderId="21" xfId="59" applyNumberFormat="1" applyFont="1" applyBorder="1" applyAlignment="1" applyProtection="1">
      <alignment horizontal="left"/>
      <protection locked="0"/>
    </xf>
    <xf numFmtId="0" fontId="34" fillId="0" borderId="4" xfId="59" applyFont="1" applyBorder="1" applyAlignment="1" applyProtection="1">
      <alignment horizontal="right"/>
    </xf>
    <xf numFmtId="0" fontId="34" fillId="0" borderId="0" xfId="59" applyFont="1" applyBorder="1" applyAlignment="1" applyProtection="1">
      <alignment horizontal="right"/>
    </xf>
    <xf numFmtId="49" fontId="34" fillId="0" borderId="13" xfId="59" applyNumberFormat="1" applyFont="1" applyBorder="1" applyAlignment="1" applyProtection="1">
      <alignment horizontal="left"/>
      <protection locked="0"/>
    </xf>
    <xf numFmtId="2" fontId="34" fillId="0" borderId="13" xfId="59" applyNumberFormat="1" applyFont="1" applyBorder="1" applyAlignment="1" applyProtection="1">
      <alignment horizontal="left"/>
      <protection locked="0"/>
    </xf>
    <xf numFmtId="171" fontId="34" fillId="0" borderId="13" xfId="59" applyNumberFormat="1" applyFont="1" applyBorder="1" applyAlignment="1" applyProtection="1">
      <alignment horizontal="left"/>
      <protection locked="0"/>
    </xf>
    <xf numFmtId="0" fontId="34" fillId="0" borderId="17" xfId="59" applyFont="1" applyBorder="1" applyAlignment="1" applyProtection="1">
      <alignment horizontal="right"/>
    </xf>
    <xf numFmtId="0" fontId="34" fillId="0" borderId="1" xfId="59" applyFont="1" applyBorder="1" applyAlignment="1" applyProtection="1">
      <alignment horizontal="right"/>
    </xf>
    <xf numFmtId="171" fontId="34" fillId="0" borderId="18" xfId="59" applyNumberFormat="1" applyFont="1" applyBorder="1" applyAlignment="1" applyProtection="1">
      <alignment horizontal="left"/>
      <protection locked="0"/>
    </xf>
    <xf numFmtId="0" fontId="7" fillId="0" borderId="20" xfId="59" applyFont="1" applyFill="1" applyBorder="1" applyAlignment="1" applyProtection="1">
      <alignment horizontal="right"/>
      <protection locked="0"/>
    </xf>
    <xf numFmtId="0" fontId="8" fillId="2" borderId="31" xfId="67" applyFont="1" applyFill="1" applyBorder="1" applyAlignment="1">
      <alignment vertical="center" wrapText="1"/>
    </xf>
    <xf numFmtId="0" fontId="8" fillId="2" borderId="32" xfId="67" applyFont="1" applyFill="1" applyBorder="1" applyAlignment="1">
      <alignment vertical="center" wrapText="1"/>
    </xf>
    <xf numFmtId="0" fontId="8" fillId="2" borderId="33" xfId="67" applyFont="1" applyFill="1" applyBorder="1" applyAlignment="1">
      <alignment vertical="center" wrapText="1"/>
    </xf>
    <xf numFmtId="0" fontId="8" fillId="2" borderId="4" xfId="67" applyFont="1" applyFill="1" applyBorder="1" applyAlignment="1">
      <alignment vertical="center" wrapText="1"/>
    </xf>
    <xf numFmtId="0" fontId="8" fillId="2" borderId="0" xfId="67" applyFont="1" applyFill="1" applyBorder="1" applyAlignment="1">
      <alignment vertical="center" wrapText="1"/>
    </xf>
    <xf numFmtId="0" fontId="8" fillId="2" borderId="5" xfId="67" applyFont="1" applyFill="1" applyBorder="1" applyAlignment="1">
      <alignment vertical="center" wrapText="1"/>
    </xf>
    <xf numFmtId="0" fontId="8" fillId="2" borderId="7" xfId="67" applyFont="1" applyFill="1" applyBorder="1" applyAlignment="1">
      <alignment vertical="center" wrapText="1"/>
    </xf>
    <xf numFmtId="0" fontId="8" fillId="2" borderId="4" xfId="67" applyFont="1" applyFill="1" applyBorder="1" applyAlignment="1">
      <alignment vertical="center"/>
    </xf>
    <xf numFmtId="0" fontId="6" fillId="2" borderId="22" xfId="62" applyFont="1" applyFill="1" applyBorder="1" applyAlignment="1">
      <alignment vertical="center"/>
    </xf>
    <xf numFmtId="0" fontId="7" fillId="0" borderId="0" xfId="59" applyFont="1" applyFill="1" applyBorder="1" applyAlignment="1" applyProtection="1">
      <alignment horizontal="left" vertical="center"/>
      <protection locked="0"/>
    </xf>
    <xf numFmtId="0" fontId="8" fillId="0" borderId="20" xfId="59" applyFont="1" applyFill="1" applyBorder="1" applyAlignment="1" applyProtection="1">
      <alignment horizontal="center" vertical="center"/>
    </xf>
    <xf numFmtId="0" fontId="8" fillId="0" borderId="20" xfId="59" applyFont="1" applyFill="1" applyBorder="1" applyAlignment="1" applyProtection="1">
      <alignment horizontal="center"/>
      <protection locked="0"/>
    </xf>
    <xf numFmtId="0" fontId="8" fillId="4" borderId="20" xfId="59" applyFont="1" applyFill="1" applyBorder="1" applyAlignment="1" applyProtection="1">
      <alignment horizontal="right"/>
    </xf>
    <xf numFmtId="1" fontId="57" fillId="0" borderId="19" xfId="30" applyNumberFormat="1" applyFont="1" applyBorder="1" applyAlignment="1">
      <alignment horizontal="center" vertical="center"/>
    </xf>
    <xf numFmtId="1" fontId="57" fillId="0" borderId="20" xfId="30" applyNumberFormat="1" applyFont="1" applyBorder="1" applyAlignment="1">
      <alignment horizontal="center" vertical="center"/>
    </xf>
    <xf numFmtId="0" fontId="7" fillId="0" borderId="20" xfId="59" applyFont="1" applyBorder="1" applyAlignment="1" applyProtection="1">
      <alignment horizontal="right"/>
      <protection locked="0"/>
    </xf>
    <xf numFmtId="1" fontId="7" fillId="0" borderId="20" xfId="59" applyNumberFormat="1" applyFont="1" applyBorder="1" applyAlignment="1" applyProtection="1">
      <alignment horizontal="right"/>
      <protection locked="0"/>
    </xf>
    <xf numFmtId="0" fontId="7" fillId="0" borderId="20" xfId="59" applyFont="1" applyFill="1" applyBorder="1" applyProtection="1">
      <protection locked="0"/>
    </xf>
    <xf numFmtId="0" fontId="7" fillId="0" borderId="20" xfId="59" applyFont="1" applyBorder="1" applyProtection="1">
      <protection locked="0"/>
    </xf>
    <xf numFmtId="0" fontId="56" fillId="0" borderId="19" xfId="30" applyFont="1" applyFill="1" applyBorder="1" applyAlignment="1">
      <alignment horizontal="center" vertical="center"/>
    </xf>
    <xf numFmtId="0" fontId="56" fillId="0" borderId="19" xfId="30" applyFont="1" applyFill="1" applyBorder="1" applyAlignment="1">
      <alignment horizontal="left" vertical="center"/>
    </xf>
    <xf numFmtId="0" fontId="6" fillId="2" borderId="22" xfId="62" applyFont="1" applyFill="1" applyBorder="1" applyAlignment="1">
      <alignment vertical="center"/>
    </xf>
    <xf numFmtId="0" fontId="44" fillId="2" borderId="0" xfId="25" applyFont="1" applyFill="1" applyBorder="1" applyAlignment="1">
      <alignment horizontal="left" vertical="center" wrapText="1"/>
    </xf>
    <xf numFmtId="43" fontId="42" fillId="2" borderId="0" xfId="2" applyNumberFormat="1" applyFont="1" applyFill="1" applyBorder="1" applyAlignment="1">
      <alignment horizontal="center" vertical="center"/>
    </xf>
    <xf numFmtId="0" fontId="7" fillId="2" borderId="0" xfId="63" applyNumberFormat="1" applyFont="1" applyFill="1" applyBorder="1" applyAlignment="1">
      <alignment horizontal="right" vertical="center"/>
    </xf>
    <xf numFmtId="43" fontId="7" fillId="2" borderId="0" xfId="2" applyFont="1" applyFill="1" applyBorder="1" applyAlignment="1">
      <alignment horizontal="left" vertical="center"/>
    </xf>
    <xf numFmtId="178" fontId="24" fillId="2" borderId="0" xfId="25" applyNumberFormat="1" applyFont="1" applyFill="1" applyBorder="1" applyAlignment="1">
      <alignment horizontal="right" vertical="center"/>
    </xf>
    <xf numFmtId="0" fontId="7" fillId="2" borderId="0" xfId="25" applyFont="1" applyFill="1" applyBorder="1" applyAlignment="1">
      <alignment horizontal="center" vertical="center"/>
    </xf>
    <xf numFmtId="178" fontId="25" fillId="3" borderId="38" xfId="25" applyNumberFormat="1" applyFont="1" applyFill="1" applyBorder="1" applyAlignment="1">
      <alignment horizontal="right" vertical="center"/>
    </xf>
    <xf numFmtId="0" fontId="8" fillId="2" borderId="6" xfId="67" applyFont="1" applyFill="1" applyBorder="1" applyAlignment="1">
      <alignment vertical="center"/>
    </xf>
    <xf numFmtId="0" fontId="7" fillId="2" borderId="7" xfId="25" applyFont="1" applyFill="1" applyBorder="1" applyAlignment="1">
      <alignment horizontal="center" vertical="center"/>
    </xf>
    <xf numFmtId="0" fontId="7" fillId="2" borderId="7" xfId="63" applyNumberFormat="1" applyFont="1" applyFill="1" applyBorder="1" applyAlignment="1">
      <alignment horizontal="right" vertical="center"/>
    </xf>
    <xf numFmtId="43" fontId="7" fillId="2" borderId="7" xfId="2" applyFont="1" applyFill="1" applyBorder="1" applyAlignment="1">
      <alignment horizontal="left" vertical="center"/>
    </xf>
    <xf numFmtId="178" fontId="24" fillId="2" borderId="7" xfId="25" applyNumberFormat="1" applyFont="1" applyFill="1" applyBorder="1" applyAlignment="1">
      <alignment horizontal="right" vertical="center"/>
    </xf>
    <xf numFmtId="180" fontId="37" fillId="2" borderId="0" xfId="2" applyNumberFormat="1" applyFont="1" applyFill="1" applyAlignment="1">
      <alignment vertical="center"/>
    </xf>
    <xf numFmtId="0" fontId="8" fillId="0" borderId="19" xfId="59" applyFont="1" applyBorder="1" applyAlignment="1" applyProtection="1">
      <alignment horizontal="center" vertical="center" wrapText="1"/>
    </xf>
    <xf numFmtId="0" fontId="23" fillId="2" borderId="9" xfId="25" applyFont="1" applyFill="1" applyBorder="1" applyAlignment="1">
      <alignment horizontal="left" vertical="center"/>
    </xf>
    <xf numFmtId="0" fontId="23" fillId="2" borderId="10" xfId="25" applyFont="1" applyFill="1" applyBorder="1" applyAlignment="1">
      <alignment horizontal="left" vertical="center"/>
    </xf>
    <xf numFmtId="0" fontId="23" fillId="2" borderId="11" xfId="25" applyFont="1" applyFill="1" applyBorder="1" applyAlignment="1">
      <alignment horizontal="left" vertical="center"/>
    </xf>
    <xf numFmtId="0" fontId="23" fillId="2" borderId="0" xfId="25" applyFont="1" applyFill="1" applyBorder="1" applyAlignment="1">
      <alignment horizontal="left" vertical="center"/>
    </xf>
    <xf numFmtId="0" fontId="36" fillId="0" borderId="2" xfId="62" applyFont="1" applyFill="1" applyBorder="1" applyAlignment="1">
      <alignment horizontal="center" vertical="center"/>
    </xf>
    <xf numFmtId="0" fontId="36" fillId="0" borderId="3" xfId="62" applyFont="1" applyFill="1" applyBorder="1" applyAlignment="1">
      <alignment horizontal="center" vertical="center"/>
    </xf>
    <xf numFmtId="0" fontId="36" fillId="0" borderId="21" xfId="62" applyFont="1" applyFill="1" applyBorder="1" applyAlignment="1">
      <alignment horizontal="center" vertical="center"/>
    </xf>
    <xf numFmtId="175" fontId="6" fillId="2" borderId="14" xfId="64" applyNumberFormat="1" applyFont="1" applyFill="1" applyBorder="1" applyAlignment="1">
      <alignment horizontal="left" vertical="center"/>
    </xf>
    <xf numFmtId="175" fontId="6" fillId="2" borderId="10" xfId="64" applyNumberFormat="1" applyFont="1" applyFill="1" applyBorder="1" applyAlignment="1">
      <alignment horizontal="left" vertical="center"/>
    </xf>
    <xf numFmtId="175" fontId="6" fillId="2" borderId="12" xfId="64" applyNumberFormat="1" applyFont="1" applyFill="1" applyBorder="1" applyAlignment="1">
      <alignment horizontal="left" vertical="center"/>
    </xf>
    <xf numFmtId="176" fontId="6" fillId="2" borderId="0" xfId="2" applyNumberFormat="1" applyFont="1" applyFill="1" applyBorder="1" applyAlignment="1">
      <alignment horizontal="left" vertical="center"/>
    </xf>
    <xf numFmtId="176" fontId="6" fillId="2" borderId="13" xfId="2" applyNumberFormat="1" applyFont="1" applyFill="1" applyBorder="1" applyAlignment="1">
      <alignment horizontal="left" vertical="center"/>
    </xf>
    <xf numFmtId="0" fontId="6" fillId="2" borderId="22" xfId="62" applyFont="1" applyFill="1" applyBorder="1" applyAlignment="1">
      <alignment vertical="center"/>
    </xf>
    <xf numFmtId="0" fontId="6" fillId="2" borderId="0" xfId="62" applyFont="1" applyFill="1" applyBorder="1" applyAlignment="1">
      <alignment vertical="center"/>
    </xf>
    <xf numFmtId="0" fontId="6" fillId="2" borderId="13" xfId="62" applyFont="1" applyFill="1" applyBorder="1" applyAlignment="1">
      <alignment vertical="center"/>
    </xf>
    <xf numFmtId="177" fontId="8" fillId="2" borderId="7" xfId="25" applyNumberFormat="1" applyFont="1" applyFill="1" applyBorder="1" applyAlignment="1">
      <alignment horizontal="center" vertical="center"/>
    </xf>
    <xf numFmtId="177" fontId="8" fillId="2" borderId="23" xfId="25" applyNumberFormat="1" applyFont="1" applyFill="1" applyBorder="1" applyAlignment="1">
      <alignment horizontal="center" vertical="center"/>
    </xf>
    <xf numFmtId="49" fontId="35" fillId="2" borderId="6" xfId="65" applyNumberFormat="1" applyFont="1" applyFill="1" applyBorder="1" applyAlignment="1">
      <alignment horizontal="center" vertical="center"/>
    </xf>
    <xf numFmtId="49" fontId="35" fillId="2" borderId="7" xfId="65" applyNumberFormat="1" applyFont="1" applyFill="1" applyBorder="1" applyAlignment="1">
      <alignment horizontal="center" vertical="center"/>
    </xf>
    <xf numFmtId="49" fontId="35" fillId="2" borderId="8" xfId="65" applyNumberFormat="1" applyFont="1" applyFill="1" applyBorder="1" applyAlignment="1">
      <alignment horizontal="center" vertical="center"/>
    </xf>
    <xf numFmtId="0" fontId="35" fillId="2" borderId="0" xfId="66" applyFont="1" applyFill="1" applyBorder="1" applyAlignment="1">
      <alignment horizontal="center" vertical="center" wrapText="1"/>
    </xf>
    <xf numFmtId="0" fontId="23" fillId="2" borderId="14" xfId="25" applyFont="1" applyFill="1" applyBorder="1" applyAlignment="1">
      <alignment horizontal="left" vertical="center"/>
    </xf>
    <xf numFmtId="0" fontId="35" fillId="2" borderId="4" xfId="3" applyFont="1" applyFill="1" applyBorder="1" applyAlignment="1">
      <alignment horizontal="center" vertical="center"/>
    </xf>
    <xf numFmtId="0" fontId="35" fillId="2" borderId="0" xfId="3" applyFont="1" applyFill="1" applyBorder="1" applyAlignment="1">
      <alignment horizontal="center" vertical="center"/>
    </xf>
    <xf numFmtId="177" fontId="35" fillId="2" borderId="22" xfId="25" applyNumberFormat="1" applyFont="1" applyFill="1" applyBorder="1" applyAlignment="1">
      <alignment horizontal="center" vertical="center"/>
    </xf>
    <xf numFmtId="177" fontId="35" fillId="2" borderId="0" xfId="25" applyNumberFormat="1" applyFont="1" applyFill="1" applyBorder="1" applyAlignment="1">
      <alignment horizontal="center" vertical="center"/>
    </xf>
    <xf numFmtId="177" fontId="35" fillId="2" borderId="5" xfId="25" applyNumberFormat="1" applyFont="1" applyFill="1" applyBorder="1" applyAlignment="1">
      <alignment horizontal="center" vertical="center"/>
    </xf>
    <xf numFmtId="0" fontId="44" fillId="2" borderId="4" xfId="25" applyFont="1" applyFill="1" applyBorder="1" applyAlignment="1">
      <alignment horizontal="left" vertical="center" wrapText="1"/>
    </xf>
    <xf numFmtId="0" fontId="44" fillId="2" borderId="0" xfId="25" applyFont="1" applyFill="1" applyBorder="1" applyAlignment="1">
      <alignment horizontal="left" vertical="center" wrapText="1"/>
    </xf>
    <xf numFmtId="43" fontId="42" fillId="2" borderId="0" xfId="2" applyNumberFormat="1" applyFont="1" applyFill="1" applyBorder="1" applyAlignment="1">
      <alignment horizontal="center" vertical="center"/>
    </xf>
    <xf numFmtId="43" fontId="42" fillId="2" borderId="13" xfId="2" applyNumberFormat="1" applyFont="1" applyFill="1" applyBorder="1" applyAlignment="1">
      <alignment horizontal="center" vertical="center"/>
    </xf>
    <xf numFmtId="43" fontId="46" fillId="0" borderId="17" xfId="69" applyNumberFormat="1" applyFont="1" applyFill="1" applyBorder="1" applyAlignment="1">
      <alignment horizontal="right" vertical="center"/>
    </xf>
    <xf numFmtId="43" fontId="46" fillId="0" borderId="1" xfId="69" applyNumberFormat="1" applyFont="1" applyFill="1" applyBorder="1" applyAlignment="1">
      <alignment horizontal="right" vertical="center"/>
    </xf>
    <xf numFmtId="43" fontId="46" fillId="0" borderId="18" xfId="69" applyNumberFormat="1" applyFont="1" applyFill="1" applyBorder="1" applyAlignment="1">
      <alignment horizontal="right" vertical="center"/>
    </xf>
    <xf numFmtId="0" fontId="8" fillId="3" borderId="24" xfId="62" applyFont="1" applyFill="1" applyBorder="1" applyAlignment="1">
      <alignment horizontal="center" vertical="center" wrapText="1"/>
    </xf>
    <xf numFmtId="0" fontId="8" fillId="3" borderId="25" xfId="62" applyFont="1" applyFill="1" applyBorder="1" applyAlignment="1">
      <alignment horizontal="center" vertical="center" wrapText="1"/>
    </xf>
    <xf numFmtId="0" fontId="8" fillId="3" borderId="26" xfId="62" applyFont="1" applyFill="1" applyBorder="1" applyAlignment="1">
      <alignment horizontal="center" vertical="center"/>
    </xf>
    <xf numFmtId="0" fontId="8" fillId="3" borderId="37" xfId="62" applyFont="1" applyFill="1" applyBorder="1" applyAlignment="1">
      <alignment horizontal="center" vertical="center"/>
    </xf>
    <xf numFmtId="0" fontId="8" fillId="3" borderId="25" xfId="62" applyFont="1" applyFill="1" applyBorder="1" applyAlignment="1">
      <alignment horizontal="center" vertical="center"/>
    </xf>
    <xf numFmtId="0" fontId="8" fillId="3" borderId="27" xfId="62" applyFont="1" applyFill="1" applyBorder="1" applyAlignment="1">
      <alignment horizontal="center" vertical="center"/>
    </xf>
    <xf numFmtId="0" fontId="8" fillId="3" borderId="28" xfId="62" applyFont="1" applyFill="1" applyBorder="1" applyAlignment="1">
      <alignment horizontal="center" vertical="center"/>
    </xf>
    <xf numFmtId="0" fontId="8" fillId="3" borderId="20" xfId="62" applyFont="1" applyFill="1" applyBorder="1" applyAlignment="1">
      <alignment horizontal="center" vertical="center"/>
    </xf>
    <xf numFmtId="0" fontId="47" fillId="0" borderId="0" xfId="59" applyFont="1" applyAlignment="1" applyProtection="1">
      <alignment horizontal="center" vertical="center"/>
      <protection locked="0"/>
    </xf>
    <xf numFmtId="0" fontId="47" fillId="0" borderId="13" xfId="59" applyFont="1" applyBorder="1" applyAlignment="1" applyProtection="1">
      <alignment horizontal="center" vertical="center"/>
      <protection locked="0"/>
    </xf>
    <xf numFmtId="0" fontId="8" fillId="4" borderId="20" xfId="59" applyFont="1" applyFill="1" applyBorder="1" applyAlignment="1" applyProtection="1">
      <alignment horizontal="center" vertical="center"/>
    </xf>
    <xf numFmtId="0" fontId="8" fillId="4" borderId="20" xfId="59" applyFont="1" applyFill="1" applyBorder="1" applyAlignment="1" applyProtection="1">
      <alignment horizontal="center"/>
      <protection locked="0"/>
    </xf>
  </cellXfs>
  <cellStyles count="71">
    <cellStyle name="Comma" xfId="1" builtinId="3"/>
    <cellStyle name="Comma [0] 2" xfId="6"/>
    <cellStyle name="Comma 2" xfId="2"/>
    <cellStyle name="Comma 2 2" xfId="7"/>
    <cellStyle name="Comma 2 3" xfId="69"/>
    <cellStyle name="Comma 3" xfId="60"/>
    <cellStyle name="Comma0" xfId="8"/>
    <cellStyle name="Currency 2" xfId="4"/>
    <cellStyle name="Currency 3" xfId="61"/>
    <cellStyle name="Currency0" xfId="9"/>
    <cellStyle name="Date" xfId="10"/>
    <cellStyle name="Excel Built-in Normal" xfId="11"/>
    <cellStyle name="Excel Built-in Normal 1" xfId="12"/>
    <cellStyle name="Excel Built-in Normal 1 1" xfId="13"/>
    <cellStyle name="Excel Built-in Normal 1 1 1 2" xfId="14"/>
    <cellStyle name="Excel Built-in Normal 1 1 2" xfId="15"/>
    <cellStyle name="Excel Built-in Normal 1 1 2 2" xfId="16"/>
    <cellStyle name="Excel Built-in Normal 1 1 2_5-10 20FT IMP-1" xfId="17"/>
    <cellStyle name="Excel Built-in Normal 1 1_5-18 IMP 40FT" xfId="18"/>
    <cellStyle name="Excel Built-in Normal 1 2" xfId="19"/>
    <cellStyle name="Excel Built-in Normal 2" xfId="20"/>
    <cellStyle name="Excel Built-in Normal_ORDER STATUS-28062011" xfId="21"/>
    <cellStyle name="Fixed" xfId="22"/>
    <cellStyle name="Normal" xfId="0" builtinId="0"/>
    <cellStyle name="Normal - Style1" xfId="23"/>
    <cellStyle name="Normal 11 2 2" xfId="24"/>
    <cellStyle name="Normal 13" xfId="70"/>
    <cellStyle name="Normal 2" xfId="25"/>
    <cellStyle name="Normal 2 10" xfId="26"/>
    <cellStyle name="Normal 2 10 2" xfId="27"/>
    <cellStyle name="Normal 2 2" xfId="28"/>
    <cellStyle name="Normal 2 2 2 2" xfId="29"/>
    <cellStyle name="Normal 23" xfId="30"/>
    <cellStyle name="Normal 3" xfId="5"/>
    <cellStyle name="Normal 3 10" xfId="31"/>
    <cellStyle name="Normal 3 2" xfId="32"/>
    <cellStyle name="Normal 3 3" xfId="33"/>
    <cellStyle name="Normal 3 4" xfId="34"/>
    <cellStyle name="Normal 3 5" xfId="35"/>
    <cellStyle name="Normal 3 6" xfId="36"/>
    <cellStyle name="Normal 3 7" xfId="37"/>
    <cellStyle name="Normal 3 8" xfId="38"/>
    <cellStyle name="Normal 3 9" xfId="39"/>
    <cellStyle name="Normal 4" xfId="59"/>
    <cellStyle name="Normal 5" xfId="40"/>
    <cellStyle name="Normal 58 2" xfId="57"/>
    <cellStyle name="Normal_01_SPAIN_06-07-07AIR_PS007TH(LCL)-080703_PS15차 인보이스-100329" xfId="66"/>
    <cellStyle name="Normal_25 CHL08-03-2014 AIR for custom" xfId="63"/>
    <cellStyle name="Normal_Capbanks Mar.30.2002_06 GERMANY(PS20FT)-08-04-30_PS007TH(LCL)-080703_PS15차 인보이스-100329" xfId="62"/>
    <cellStyle name="Normal_PACK  CAPBANKS" xfId="3"/>
    <cellStyle name="Normal_PACK  CAPBANKS_02 HO CHANG -KASCO 2" xfId="65"/>
    <cellStyle name="Normal_PACK  CAPBANKS_02 HO CHANG -KASCO_03 KAS003RD(FEDEX)-120810 2" xfId="64"/>
    <cellStyle name="Normal_PACK  CAPBANKS_06 GERMANY(PS20FT)-08-04-30_PS007TH(LCL)-080703_PS15차 인보이스-100329" xfId="67"/>
    <cellStyle name="Percent 2" xfId="68"/>
    <cellStyle name="Style 1" xfId="41"/>
    <cellStyle name="똿뗦먛귟 [0.00]_PRODUCT DETAIL Q1" xfId="42"/>
    <cellStyle name="똿뗦먛귟_PRODUCT DETAIL Q1" xfId="43"/>
    <cellStyle name="믅됞 [0.00]_PRODUCT DETAIL Q1" xfId="44"/>
    <cellStyle name="믅됞_PRODUCT DETAIL Q1" xfId="45"/>
    <cellStyle name="뷭?_BOOKSHIP" xfId="46"/>
    <cellStyle name="스타일 1" xfId="47"/>
    <cellStyle name="콤마 [0]_1202" xfId="48"/>
    <cellStyle name="콤마_1202" xfId="49"/>
    <cellStyle name="표준 2" xfId="50"/>
    <cellStyle name="표준 32" xfId="51"/>
    <cellStyle name="표준 32 5" xfId="58"/>
    <cellStyle name="一般_A51HG34(SHCC50319)" xfId="52"/>
    <cellStyle name="千分位_ALT-PI" xfId="53"/>
    <cellStyle name="常规_2009年02月份-1出货承诺" xfId="54"/>
    <cellStyle name="桁区切り [0.00] 2" xfId="55"/>
    <cellStyle name="標準 5" xfId="56"/>
  </cellStyles>
  <dxfs count="6">
    <dxf>
      <font>
        <color rgb="FF9C0006"/>
      </font>
      <fill>
        <patternFill patternType="solid">
          <bgColor rgb="FFFFC7CE"/>
        </patternFill>
      </fill>
    </dxf>
    <dxf>
      <fill>
        <patternFill>
          <bgColor indexed="9"/>
        </patternFill>
      </fill>
    </dxf>
    <dxf>
      <fill>
        <patternFill>
          <bgColor indexed="9"/>
        </patternFill>
      </fill>
    </dxf>
    <dxf>
      <font>
        <color rgb="FF9C0006"/>
      </font>
      <fill>
        <patternFill patternType="solid">
          <bgColor rgb="FFFFC7CE"/>
        </patternFill>
      </fill>
    </dxf>
    <dxf>
      <fill>
        <patternFill>
          <bgColor indexed="9"/>
        </patternFill>
      </fill>
    </dxf>
    <dxf>
      <fill>
        <patternFill>
          <bgColor indexe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190499</xdr:colOff>
      <xdr:row>40</xdr:row>
      <xdr:rowOff>13607</xdr:rowOff>
    </xdr:from>
    <xdr:to>
      <xdr:col>6</xdr:col>
      <xdr:colOff>1281792</xdr:colOff>
      <xdr:row>49</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54877607"/>
          <a:ext cx="758190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190499</xdr:colOff>
      <xdr:row>40</xdr:row>
      <xdr:rowOff>13607</xdr:rowOff>
    </xdr:from>
    <xdr:to>
      <xdr:col>6</xdr:col>
      <xdr:colOff>1281792</xdr:colOff>
      <xdr:row>49</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8471807"/>
          <a:ext cx="7587343" cy="3189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45815</xdr:colOff>
      <xdr:row>40</xdr:row>
      <xdr:rowOff>112717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5514286" cy="81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view="pageBreakPreview" zoomScaleNormal="85" zoomScaleSheetLayoutView="100" workbookViewId="0">
      <selection activeCell="O4" sqref="O4"/>
    </sheetView>
  </sheetViews>
  <sheetFormatPr defaultColWidth="7.625" defaultRowHeight="15"/>
  <cols>
    <col min="1" max="3" width="9.875" style="38" customWidth="1"/>
    <col min="4" max="4" width="8.125" style="38" bestFit="1" customWidth="1"/>
    <col min="5" max="5" width="18.75" style="38" bestFit="1" customWidth="1"/>
    <col min="6" max="6" width="28.75" style="38" bestFit="1" customWidth="1"/>
    <col min="7" max="7" width="21" style="38" bestFit="1" customWidth="1"/>
    <col min="8" max="8" width="11.125" style="38" customWidth="1"/>
    <col min="9" max="10" width="11.125" style="61" customWidth="1"/>
    <col min="11" max="11" width="9" style="61" customWidth="1"/>
    <col min="12" max="12" width="13.125" style="62" customWidth="1"/>
    <col min="13" max="13" width="17.375" style="36" customWidth="1"/>
    <col min="14" max="14" width="8.875" style="134" customWidth="1"/>
    <col min="15" max="15" width="26.875" style="37" customWidth="1"/>
    <col min="16" max="16" width="14.125" style="36" customWidth="1"/>
    <col min="17" max="17" width="7.625" style="36" customWidth="1"/>
    <col min="18" max="18" width="7.625" style="36"/>
    <col min="19" max="16384" width="7.625" style="38"/>
  </cols>
  <sheetData>
    <row r="1" spans="1:18" ht="47.25" customHeight="1">
      <c r="A1" s="255" t="s">
        <v>0</v>
      </c>
      <c r="B1" s="256"/>
      <c r="C1" s="256"/>
      <c r="D1" s="256"/>
      <c r="E1" s="256"/>
      <c r="F1" s="256"/>
      <c r="G1" s="256"/>
      <c r="H1" s="256"/>
      <c r="I1" s="256"/>
      <c r="J1" s="256"/>
      <c r="K1" s="256"/>
      <c r="L1" s="256"/>
      <c r="M1" s="257"/>
    </row>
    <row r="2" spans="1:18" s="41" customFormat="1" ht="21" customHeight="1">
      <c r="A2" s="100" t="s">
        <v>41</v>
      </c>
      <c r="B2" s="101"/>
      <c r="C2" s="101"/>
      <c r="D2" s="101"/>
      <c r="E2" s="101"/>
      <c r="F2" s="101"/>
      <c r="G2" s="101"/>
      <c r="H2" s="258" t="s">
        <v>113</v>
      </c>
      <c r="I2" s="259" t="s">
        <v>42</v>
      </c>
      <c r="J2" s="259"/>
      <c r="K2" s="259"/>
      <c r="L2" s="259"/>
      <c r="M2" s="260"/>
      <c r="N2" s="171"/>
      <c r="O2" s="40"/>
      <c r="P2" s="39"/>
      <c r="Q2" s="39"/>
      <c r="R2" s="39"/>
    </row>
    <row r="3" spans="1:18" ht="19.5" customHeight="1">
      <c r="A3" s="76" t="s">
        <v>39</v>
      </c>
      <c r="B3" s="77"/>
      <c r="C3" s="77"/>
      <c r="D3" s="77"/>
      <c r="E3" s="77"/>
      <c r="F3" s="77"/>
      <c r="G3" s="77"/>
      <c r="H3" s="78" t="s">
        <v>1</v>
      </c>
      <c r="I3" s="261">
        <v>46253</v>
      </c>
      <c r="J3" s="261"/>
      <c r="K3" s="261"/>
      <c r="L3" s="261"/>
      <c r="M3" s="262"/>
      <c r="N3" s="171"/>
    </row>
    <row r="4" spans="1:18" ht="19.5" customHeight="1">
      <c r="A4" s="75" t="s">
        <v>81</v>
      </c>
      <c r="B4" s="74"/>
      <c r="C4" s="74"/>
      <c r="D4" s="74"/>
      <c r="E4" s="74"/>
      <c r="F4" s="74"/>
      <c r="G4" s="74"/>
      <c r="H4" s="263" t="s">
        <v>67</v>
      </c>
      <c r="I4" s="264"/>
      <c r="J4" s="264"/>
      <c r="K4" s="264"/>
      <c r="L4" s="264"/>
      <c r="M4" s="265"/>
      <c r="N4" s="171"/>
    </row>
    <row r="5" spans="1:18" ht="19.5" customHeight="1">
      <c r="A5" s="75" t="s">
        <v>82</v>
      </c>
      <c r="B5" s="74"/>
      <c r="C5" s="74"/>
      <c r="D5" s="74"/>
      <c r="E5" s="74"/>
      <c r="F5" s="79"/>
      <c r="G5" s="79"/>
      <c r="H5" s="155" t="s">
        <v>68</v>
      </c>
      <c r="I5" s="80"/>
      <c r="J5" s="80"/>
      <c r="K5" s="80"/>
      <c r="L5" s="80"/>
      <c r="M5" s="81"/>
      <c r="N5" s="171"/>
    </row>
    <row r="6" spans="1:18" ht="19.5" customHeight="1">
      <c r="A6" s="75" t="s">
        <v>83</v>
      </c>
      <c r="B6" s="74"/>
      <c r="C6" s="74"/>
      <c r="D6" s="74"/>
      <c r="E6" s="74"/>
      <c r="F6" s="79"/>
      <c r="G6" s="79"/>
      <c r="H6" s="223"/>
      <c r="I6" s="80"/>
      <c r="J6" s="80"/>
      <c r="K6" s="80"/>
      <c r="L6" s="80"/>
      <c r="M6" s="81"/>
      <c r="N6" s="171"/>
    </row>
    <row r="7" spans="1:18" ht="19.5" customHeight="1">
      <c r="A7" s="75" t="s">
        <v>88</v>
      </c>
      <c r="B7" s="74"/>
      <c r="C7" s="74"/>
      <c r="D7" s="74"/>
      <c r="E7" s="74"/>
      <c r="F7" s="79"/>
      <c r="G7" s="79"/>
      <c r="H7" s="223"/>
      <c r="I7" s="80"/>
      <c r="J7" s="80"/>
      <c r="K7" s="80"/>
      <c r="L7" s="80"/>
      <c r="M7" s="81"/>
      <c r="N7" s="171"/>
    </row>
    <row r="8" spans="1:18" ht="19.5" customHeight="1">
      <c r="A8" s="165" t="s">
        <v>89</v>
      </c>
      <c r="B8" s="166"/>
      <c r="C8" s="166"/>
      <c r="D8" s="166"/>
      <c r="E8" s="166"/>
      <c r="F8" s="166"/>
      <c r="G8" s="166"/>
      <c r="H8" s="167"/>
      <c r="I8" s="168"/>
      <c r="J8" s="168"/>
      <c r="K8" s="168"/>
      <c r="L8" s="266"/>
      <c r="M8" s="267"/>
    </row>
    <row r="9" spans="1:18" ht="19.5" customHeight="1">
      <c r="A9" s="84" t="s">
        <v>43</v>
      </c>
      <c r="B9" s="85"/>
      <c r="C9" s="85"/>
      <c r="D9" s="85"/>
      <c r="E9" s="85"/>
      <c r="F9" s="85"/>
      <c r="G9" s="85"/>
      <c r="H9" s="88" t="s">
        <v>102</v>
      </c>
      <c r="I9" s="86"/>
      <c r="J9" s="86"/>
      <c r="K9" s="86"/>
      <c r="L9" s="86"/>
      <c r="M9" s="87"/>
    </row>
    <row r="10" spans="1:18" ht="19.5" customHeight="1">
      <c r="A10" s="89" t="s">
        <v>96</v>
      </c>
      <c r="B10" s="77"/>
      <c r="C10" s="77"/>
      <c r="D10" s="77"/>
      <c r="E10" s="77"/>
      <c r="F10" s="77"/>
      <c r="G10" s="77"/>
      <c r="H10" s="88"/>
      <c r="I10" s="86"/>
      <c r="J10" s="86"/>
      <c r="K10" s="86"/>
      <c r="L10" s="86"/>
      <c r="M10" s="87"/>
    </row>
    <row r="11" spans="1:18" ht="19.5" customHeight="1">
      <c r="A11" s="133" t="s">
        <v>97</v>
      </c>
      <c r="B11" s="79"/>
      <c r="C11" s="79"/>
      <c r="D11" s="79"/>
      <c r="E11" s="79"/>
      <c r="F11" s="79"/>
      <c r="G11" s="79"/>
      <c r="H11" s="88"/>
      <c r="I11" s="86"/>
      <c r="J11" s="86"/>
      <c r="K11" s="86"/>
      <c r="L11" s="86"/>
      <c r="M11" s="87"/>
    </row>
    <row r="12" spans="1:18" ht="19.5" customHeight="1">
      <c r="A12" s="133" t="s">
        <v>98</v>
      </c>
      <c r="B12" s="79"/>
      <c r="C12" s="79"/>
      <c r="D12" s="79"/>
      <c r="E12" s="79"/>
      <c r="F12" s="79"/>
      <c r="G12" s="79"/>
      <c r="H12" s="88"/>
      <c r="I12" s="86"/>
      <c r="J12" s="86"/>
      <c r="K12" s="86"/>
      <c r="L12" s="86"/>
      <c r="M12" s="87"/>
    </row>
    <row r="13" spans="1:18" ht="19.5" customHeight="1">
      <c r="A13" s="133" t="s">
        <v>99</v>
      </c>
      <c r="B13" s="79"/>
      <c r="C13" s="79"/>
      <c r="D13" s="79"/>
      <c r="E13" s="79"/>
      <c r="F13" s="79"/>
      <c r="G13" s="79"/>
      <c r="H13" s="88"/>
      <c r="I13" s="86"/>
      <c r="J13" s="86"/>
      <c r="K13" s="86"/>
      <c r="L13" s="86"/>
      <c r="M13" s="87"/>
    </row>
    <row r="14" spans="1:18" ht="19.5" customHeight="1">
      <c r="A14" s="133" t="s">
        <v>100</v>
      </c>
      <c r="B14" s="79"/>
      <c r="C14" s="79"/>
      <c r="D14" s="79"/>
      <c r="E14" s="79"/>
      <c r="F14" s="79"/>
      <c r="G14" s="79"/>
      <c r="H14" s="88"/>
      <c r="I14" s="86"/>
      <c r="J14" s="86"/>
      <c r="K14" s="86"/>
      <c r="L14" s="86"/>
      <c r="M14" s="87"/>
    </row>
    <row r="15" spans="1:18" ht="19.5" customHeight="1">
      <c r="A15" s="102" t="s">
        <v>44</v>
      </c>
      <c r="B15" s="103"/>
      <c r="C15" s="103"/>
      <c r="D15" s="103"/>
      <c r="E15" s="103"/>
      <c r="F15" s="103"/>
      <c r="G15" s="104"/>
      <c r="H15" s="86"/>
      <c r="I15" s="86"/>
      <c r="J15" s="86"/>
      <c r="K15" s="86"/>
      <c r="L15" s="86"/>
      <c r="M15" s="87"/>
    </row>
    <row r="16" spans="1:18" ht="19.5" customHeight="1">
      <c r="A16" s="89" t="s">
        <v>40</v>
      </c>
      <c r="B16" s="77"/>
      <c r="C16" s="77"/>
      <c r="D16" s="77"/>
      <c r="E16" s="77"/>
      <c r="F16" s="77"/>
      <c r="G16" s="90"/>
      <c r="H16" s="86"/>
      <c r="I16" s="86"/>
      <c r="J16" s="86"/>
      <c r="K16" s="86"/>
      <c r="L16" s="86"/>
      <c r="M16" s="87"/>
    </row>
    <row r="17" spans="1:18" ht="19.5" customHeight="1">
      <c r="A17" s="82" t="s">
        <v>66</v>
      </c>
      <c r="B17" s="79"/>
      <c r="C17" s="79"/>
      <c r="D17" s="79"/>
      <c r="E17" s="79"/>
      <c r="F17" s="79"/>
      <c r="G17" s="91"/>
      <c r="H17" s="86"/>
      <c r="I17" s="86"/>
      <c r="J17" s="86"/>
      <c r="K17" s="86"/>
      <c r="L17" s="86"/>
      <c r="M17" s="87"/>
    </row>
    <row r="18" spans="1:18" ht="19.5" customHeight="1">
      <c r="A18" s="82" t="s">
        <v>72</v>
      </c>
      <c r="B18" s="79"/>
      <c r="C18" s="79"/>
      <c r="D18" s="79"/>
      <c r="E18" s="79"/>
      <c r="F18" s="79"/>
      <c r="G18" s="91"/>
      <c r="H18" s="86"/>
      <c r="I18" s="86"/>
      <c r="J18" s="86"/>
      <c r="K18" s="86"/>
      <c r="L18" s="86"/>
      <c r="M18" s="87"/>
    </row>
    <row r="19" spans="1:18" ht="19.5" customHeight="1">
      <c r="A19" s="82" t="s">
        <v>3</v>
      </c>
      <c r="B19" s="79"/>
      <c r="C19" s="79"/>
      <c r="D19" s="79"/>
      <c r="E19" s="79"/>
      <c r="F19" s="79"/>
      <c r="G19" s="91"/>
      <c r="H19" s="86"/>
      <c r="I19" s="86"/>
      <c r="J19" s="86"/>
      <c r="K19" s="86"/>
      <c r="L19" s="86"/>
      <c r="M19" s="87"/>
    </row>
    <row r="20" spans="1:18" ht="19.5" customHeight="1">
      <c r="A20" s="82" t="s">
        <v>18</v>
      </c>
      <c r="B20" s="83"/>
      <c r="C20" s="83"/>
      <c r="D20" s="83"/>
      <c r="E20" s="83"/>
      <c r="F20" s="83"/>
      <c r="G20" s="92"/>
      <c r="H20" s="88"/>
      <c r="I20" s="86"/>
      <c r="J20" s="86"/>
      <c r="K20" s="86"/>
      <c r="L20" s="86"/>
      <c r="M20" s="87"/>
    </row>
    <row r="21" spans="1:18" s="41" customFormat="1" ht="24" customHeight="1">
      <c r="A21" s="251" t="s">
        <v>45</v>
      </c>
      <c r="B21" s="252"/>
      <c r="C21" s="253"/>
      <c r="D21" s="254" t="s">
        <v>46</v>
      </c>
      <c r="E21" s="254"/>
      <c r="F21" s="254"/>
      <c r="G21" s="254"/>
      <c r="H21" s="88"/>
      <c r="I21" s="86"/>
      <c r="J21" s="86"/>
      <c r="K21" s="86"/>
      <c r="L21" s="86"/>
      <c r="M21" s="87"/>
      <c r="N21" s="134"/>
      <c r="O21" s="40"/>
      <c r="P21" s="39"/>
      <c r="Q21" s="39"/>
      <c r="R21" s="39"/>
    </row>
    <row r="22" spans="1:18" ht="24" customHeight="1">
      <c r="A22" s="268" t="s">
        <v>47</v>
      </c>
      <c r="B22" s="269"/>
      <c r="C22" s="270"/>
      <c r="D22" s="271" t="s">
        <v>3</v>
      </c>
      <c r="E22" s="271"/>
      <c r="F22" s="271"/>
      <c r="G22" s="271"/>
      <c r="H22" s="88"/>
      <c r="I22" s="86"/>
      <c r="J22" s="86"/>
      <c r="K22" s="86"/>
      <c r="L22" s="86"/>
      <c r="M22" s="87"/>
      <c r="N22" s="135"/>
    </row>
    <row r="23" spans="1:18" s="41" customFormat="1" ht="24" customHeight="1">
      <c r="A23" s="251" t="s">
        <v>48</v>
      </c>
      <c r="B23" s="252"/>
      <c r="C23" s="252"/>
      <c r="D23" s="272" t="s">
        <v>49</v>
      </c>
      <c r="E23" s="252"/>
      <c r="F23" s="252"/>
      <c r="G23" s="253"/>
      <c r="H23" s="86"/>
      <c r="I23" s="86"/>
      <c r="J23" s="86"/>
      <c r="K23" s="86"/>
      <c r="L23" s="86"/>
      <c r="M23" s="87"/>
      <c r="N23" s="135"/>
      <c r="O23" s="40"/>
      <c r="P23" s="39"/>
      <c r="Q23" s="39"/>
      <c r="R23" s="39"/>
    </row>
    <row r="24" spans="1:18" ht="24" customHeight="1">
      <c r="A24" s="273" t="s">
        <v>101</v>
      </c>
      <c r="B24" s="274"/>
      <c r="C24" s="274"/>
      <c r="D24" s="275">
        <v>46253</v>
      </c>
      <c r="E24" s="276"/>
      <c r="F24" s="276"/>
      <c r="G24" s="277"/>
      <c r="H24" s="86"/>
      <c r="I24" s="86"/>
      <c r="J24" s="86"/>
      <c r="K24" s="86"/>
      <c r="L24" s="86"/>
      <c r="M24" s="87"/>
      <c r="N24" s="135"/>
    </row>
    <row r="25" spans="1:18" ht="21.75" customHeight="1" thickBot="1">
      <c r="A25" s="285" t="s">
        <v>50</v>
      </c>
      <c r="B25" s="285"/>
      <c r="C25" s="286"/>
      <c r="D25" s="287" t="s">
        <v>4</v>
      </c>
      <c r="E25" s="288"/>
      <c r="F25" s="288"/>
      <c r="G25" s="289"/>
      <c r="H25" s="290" t="s">
        <v>69</v>
      </c>
      <c r="I25" s="291"/>
      <c r="J25" s="290" t="s">
        <v>69</v>
      </c>
      <c r="K25" s="291"/>
      <c r="L25" s="42" t="s">
        <v>5</v>
      </c>
      <c r="M25" s="43" t="s">
        <v>22</v>
      </c>
    </row>
    <row r="26" spans="1:18" ht="15.75" thickTop="1">
      <c r="A26" s="215"/>
      <c r="B26" s="216"/>
      <c r="C26" s="217"/>
      <c r="D26" s="44" t="s">
        <v>37</v>
      </c>
      <c r="E26" s="44" t="s">
        <v>19</v>
      </c>
      <c r="F26" s="44" t="s">
        <v>20</v>
      </c>
      <c r="G26" s="45" t="s">
        <v>38</v>
      </c>
      <c r="H26" s="63"/>
      <c r="I26" s="64"/>
      <c r="J26" s="98"/>
      <c r="K26" s="98"/>
      <c r="L26" s="46"/>
      <c r="M26" s="47"/>
      <c r="N26" s="136"/>
    </row>
    <row r="27" spans="1:18">
      <c r="A27" s="218" t="s">
        <v>84</v>
      </c>
      <c r="B27" s="219"/>
      <c r="C27" s="220"/>
      <c r="D27" s="93" t="s">
        <v>104</v>
      </c>
      <c r="E27" s="93" t="s">
        <v>106</v>
      </c>
      <c r="F27" s="93" t="s">
        <v>108</v>
      </c>
      <c r="G27" s="94" t="s">
        <v>109</v>
      </c>
      <c r="H27" s="65">
        <v>4</v>
      </c>
      <c r="I27" s="95" t="s">
        <v>6</v>
      </c>
      <c r="J27" s="99">
        <v>0.33333333333333331</v>
      </c>
      <c r="K27" s="99" t="s">
        <v>70</v>
      </c>
      <c r="L27" s="46">
        <v>6.5</v>
      </c>
      <c r="M27" s="47">
        <v>26</v>
      </c>
      <c r="N27" s="136"/>
    </row>
    <row r="28" spans="1:18">
      <c r="A28" s="222" t="s">
        <v>85</v>
      </c>
      <c r="B28" s="219"/>
      <c r="C28" s="220"/>
      <c r="D28" s="292" t="s">
        <v>7</v>
      </c>
      <c r="E28" s="292"/>
      <c r="F28" s="292"/>
      <c r="G28" s="292"/>
      <c r="H28" s="172">
        <v>4</v>
      </c>
      <c r="I28" s="96" t="s">
        <v>6</v>
      </c>
      <c r="J28" s="96">
        <v>0.33333333333333331</v>
      </c>
      <c r="K28" s="96" t="s">
        <v>70</v>
      </c>
      <c r="L28" s="97"/>
      <c r="M28" s="243">
        <v>26</v>
      </c>
      <c r="N28" s="136"/>
    </row>
    <row r="29" spans="1:18">
      <c r="A29" s="222" t="s">
        <v>86</v>
      </c>
      <c r="B29" s="219"/>
      <c r="C29" s="219"/>
      <c r="D29" s="242"/>
      <c r="E29" s="242"/>
      <c r="F29" s="242"/>
      <c r="G29" s="242"/>
      <c r="H29" s="239"/>
      <c r="I29" s="240"/>
      <c r="J29" s="240"/>
      <c r="K29" s="240"/>
      <c r="L29" s="241"/>
      <c r="M29" s="241"/>
      <c r="N29" s="136"/>
    </row>
    <row r="30" spans="1:18">
      <c r="A30" s="244" t="s">
        <v>87</v>
      </c>
      <c r="B30" s="221"/>
      <c r="C30" s="221"/>
      <c r="D30" s="245"/>
      <c r="E30" s="245"/>
      <c r="F30" s="245"/>
      <c r="G30" s="245"/>
      <c r="H30" s="246"/>
      <c r="I30" s="247"/>
      <c r="J30" s="247"/>
      <c r="K30" s="247"/>
      <c r="L30" s="248"/>
      <c r="M30" s="248"/>
      <c r="N30" s="136"/>
    </row>
    <row r="31" spans="1:18" s="37" customFormat="1" ht="19.5" customHeight="1">
      <c r="A31" s="54"/>
      <c r="B31" s="149"/>
      <c r="C31" s="149"/>
      <c r="D31" s="149"/>
      <c r="E31" s="149"/>
      <c r="F31" s="149"/>
      <c r="G31" s="149"/>
      <c r="H31" s="149"/>
      <c r="I31" s="149"/>
      <c r="J31" s="149"/>
      <c r="K31" s="149"/>
      <c r="L31" s="149"/>
      <c r="M31" s="150"/>
      <c r="N31" s="137"/>
      <c r="P31" s="36"/>
      <c r="Q31" s="36"/>
      <c r="R31" s="36"/>
    </row>
    <row r="32" spans="1:18" s="37" customFormat="1" ht="15" customHeight="1">
      <c r="A32" s="54"/>
      <c r="B32" s="149"/>
      <c r="C32" s="149"/>
      <c r="D32" s="149"/>
      <c r="E32" s="149"/>
      <c r="F32" s="149"/>
      <c r="G32" s="149"/>
      <c r="H32" s="149"/>
      <c r="I32" s="149"/>
      <c r="J32" s="149"/>
      <c r="K32" s="149"/>
      <c r="L32" s="149"/>
      <c r="M32" s="154" t="s">
        <v>112</v>
      </c>
      <c r="N32" s="134"/>
      <c r="O32" s="249"/>
      <c r="P32" s="36"/>
      <c r="Q32" s="36"/>
      <c r="R32" s="36"/>
    </row>
    <row r="33" spans="1:19" s="37" customFormat="1" ht="18.95" customHeight="1" thickBot="1">
      <c r="A33" s="151"/>
      <c r="B33" s="152"/>
      <c r="C33" s="152"/>
      <c r="D33" s="152"/>
      <c r="E33" s="152"/>
      <c r="F33" s="152"/>
      <c r="G33" s="152"/>
      <c r="H33" s="152"/>
      <c r="I33" s="152"/>
      <c r="J33" s="152"/>
      <c r="K33" s="152"/>
      <c r="L33" s="152"/>
      <c r="M33" s="153"/>
      <c r="N33" s="199"/>
      <c r="O33" s="147"/>
      <c r="P33" s="36"/>
      <c r="Q33" s="36"/>
      <c r="R33" s="36"/>
    </row>
    <row r="34" spans="1:19" s="37" customFormat="1" ht="15" hidden="1" customHeight="1">
      <c r="A34" s="48"/>
      <c r="B34" s="49"/>
      <c r="C34" s="49"/>
      <c r="D34" s="49"/>
      <c r="E34" s="49"/>
      <c r="F34" s="49"/>
      <c r="G34" s="49"/>
      <c r="H34" s="50"/>
      <c r="I34" s="146"/>
      <c r="J34" s="146"/>
      <c r="K34" s="146"/>
      <c r="L34" s="146"/>
      <c r="M34" s="51"/>
      <c r="N34" s="138"/>
      <c r="P34" s="36"/>
      <c r="Q34" s="36"/>
      <c r="R34" s="36"/>
    </row>
    <row r="35" spans="1:19" s="37" customFormat="1" ht="15" hidden="1" customHeight="1">
      <c r="A35" s="48"/>
      <c r="B35" s="49"/>
      <c r="C35" s="49"/>
      <c r="D35" s="49"/>
      <c r="E35" s="49"/>
      <c r="F35" s="49"/>
      <c r="G35" s="49"/>
      <c r="H35" s="50"/>
      <c r="I35" s="146"/>
      <c r="J35" s="146"/>
      <c r="K35" s="146"/>
      <c r="L35" s="146"/>
      <c r="M35" s="51"/>
      <c r="N35" s="134"/>
      <c r="P35" s="36"/>
      <c r="Q35" s="36"/>
      <c r="R35" s="36"/>
    </row>
    <row r="36" spans="1:19" s="37" customFormat="1" ht="15" hidden="1" customHeight="1">
      <c r="A36" s="48"/>
      <c r="B36" s="49"/>
      <c r="C36" s="49"/>
      <c r="D36" s="49"/>
      <c r="E36" s="49"/>
      <c r="F36" s="49"/>
      <c r="G36" s="49"/>
      <c r="H36" s="50"/>
      <c r="I36" s="146"/>
      <c r="J36" s="146"/>
      <c r="K36" s="146"/>
      <c r="L36" s="146"/>
      <c r="M36" s="51"/>
      <c r="N36" s="134"/>
      <c r="P36" s="36"/>
      <c r="Q36" s="36"/>
      <c r="R36" s="36"/>
    </row>
    <row r="37" spans="1:19" s="37" customFormat="1" ht="15" hidden="1" customHeight="1">
      <c r="A37" s="48"/>
      <c r="B37" s="49"/>
      <c r="C37" s="49"/>
      <c r="D37" s="49"/>
      <c r="E37" s="49"/>
      <c r="F37" s="49"/>
      <c r="G37" s="49"/>
      <c r="H37" s="50"/>
      <c r="I37" s="146"/>
      <c r="J37" s="146"/>
      <c r="K37" s="146"/>
      <c r="L37" s="146"/>
      <c r="M37" s="51"/>
      <c r="N37" s="134"/>
      <c r="P37" s="36"/>
      <c r="Q37" s="36"/>
      <c r="R37" s="36"/>
    </row>
    <row r="38" spans="1:19" s="37" customFormat="1" ht="15" hidden="1" customHeight="1">
      <c r="A38" s="48"/>
      <c r="B38" s="49"/>
      <c r="C38" s="49"/>
      <c r="D38" s="49"/>
      <c r="E38" s="49"/>
      <c r="F38" s="49"/>
      <c r="G38" s="49"/>
      <c r="H38" s="50"/>
      <c r="I38" s="146"/>
      <c r="J38" s="146"/>
      <c r="K38" s="146"/>
      <c r="L38" s="146"/>
      <c r="M38" s="51"/>
      <c r="N38" s="134"/>
      <c r="P38" s="36"/>
      <c r="Q38" s="36"/>
      <c r="R38" s="36"/>
    </row>
    <row r="39" spans="1:19" s="37" customFormat="1" ht="15" hidden="1" customHeight="1">
      <c r="A39" s="48"/>
      <c r="B39" s="49"/>
      <c r="C39" s="49"/>
      <c r="D39" s="49"/>
      <c r="E39" s="49"/>
      <c r="F39" s="49"/>
      <c r="G39" s="49"/>
      <c r="H39" s="50"/>
      <c r="I39" s="146"/>
      <c r="J39" s="146"/>
      <c r="K39" s="146"/>
      <c r="L39" s="146"/>
      <c r="M39" s="51"/>
      <c r="N39" s="134"/>
      <c r="P39" s="36"/>
      <c r="Q39" s="36"/>
      <c r="R39" s="36"/>
    </row>
    <row r="40" spans="1:19" s="37" customFormat="1" ht="33.75" hidden="1" customHeight="1">
      <c r="A40" s="48"/>
      <c r="B40" s="49"/>
      <c r="C40" s="49"/>
      <c r="D40" s="49"/>
      <c r="E40" s="49"/>
      <c r="F40" s="49"/>
      <c r="G40" s="49"/>
      <c r="H40" s="50"/>
      <c r="I40" s="146"/>
      <c r="J40" s="146"/>
      <c r="K40" s="146"/>
      <c r="L40" s="146"/>
      <c r="M40" s="51"/>
      <c r="N40" s="134"/>
      <c r="P40" s="36"/>
      <c r="Q40" s="36"/>
      <c r="R40" s="36"/>
    </row>
    <row r="41" spans="1:19" s="37" customFormat="1" ht="38.1" customHeight="1">
      <c r="A41" s="175" t="s">
        <v>51</v>
      </c>
      <c r="B41" s="176"/>
      <c r="C41" s="176"/>
      <c r="D41" s="177"/>
      <c r="E41" s="177"/>
      <c r="F41" s="177"/>
      <c r="G41" s="177"/>
      <c r="H41" s="178"/>
      <c r="I41" s="179"/>
      <c r="J41" s="179"/>
      <c r="K41" s="179"/>
      <c r="L41" s="179"/>
      <c r="M41" s="180"/>
      <c r="N41" s="134"/>
      <c r="P41" s="36"/>
      <c r="Q41" s="36"/>
      <c r="R41" s="36"/>
    </row>
    <row r="42" spans="1:19" s="37" customFormat="1" ht="38.1" customHeight="1">
      <c r="A42" s="181"/>
      <c r="B42" s="182"/>
      <c r="C42" s="182"/>
      <c r="D42" s="183"/>
      <c r="E42" s="183"/>
      <c r="F42" s="183"/>
      <c r="G42" s="183"/>
      <c r="H42" s="184"/>
      <c r="I42" s="185"/>
      <c r="J42" s="185"/>
      <c r="K42" s="185"/>
      <c r="L42" s="185"/>
      <c r="M42" s="186"/>
      <c r="N42" s="134"/>
      <c r="P42" s="36"/>
      <c r="Q42" s="36"/>
      <c r="R42" s="36"/>
    </row>
    <row r="43" spans="1:19" s="37" customFormat="1" ht="38.1" customHeight="1">
      <c r="A43" s="278" t="s">
        <v>52</v>
      </c>
      <c r="B43" s="279"/>
      <c r="C43" s="279"/>
      <c r="D43" s="279"/>
      <c r="E43" s="279"/>
      <c r="F43" s="279"/>
      <c r="G43" s="279"/>
      <c r="H43" s="279"/>
      <c r="I43" s="279"/>
      <c r="J43" s="187"/>
      <c r="K43" s="187"/>
      <c r="L43" s="185"/>
      <c r="M43" s="186"/>
      <c r="N43" s="134"/>
      <c r="P43" s="36"/>
      <c r="Q43" s="36"/>
      <c r="R43" s="36"/>
    </row>
    <row r="44" spans="1:19" s="37" customFormat="1" ht="38.1" customHeight="1">
      <c r="A44" s="188" t="s">
        <v>53</v>
      </c>
      <c r="B44" s="182"/>
      <c r="C44" s="182"/>
      <c r="D44" s="183"/>
      <c r="E44" s="183"/>
      <c r="F44" s="183"/>
      <c r="G44" s="183"/>
      <c r="H44" s="184"/>
      <c r="I44" s="185"/>
      <c r="J44" s="185"/>
      <c r="K44" s="185"/>
      <c r="L44" s="185"/>
      <c r="M44" s="186"/>
      <c r="N44" s="134"/>
      <c r="P44" s="36"/>
      <c r="Q44" s="36"/>
      <c r="R44" s="36"/>
    </row>
    <row r="45" spans="1:19" s="37" customFormat="1" ht="38.1" customHeight="1">
      <c r="A45" s="181" t="s">
        <v>10</v>
      </c>
      <c r="B45" s="182"/>
      <c r="C45" s="182"/>
      <c r="D45" s="183"/>
      <c r="E45" s="183"/>
      <c r="F45" s="183"/>
      <c r="G45" s="183"/>
      <c r="H45" s="184"/>
      <c r="I45" s="185"/>
      <c r="J45" s="185"/>
      <c r="K45" s="185"/>
      <c r="L45" s="185"/>
      <c r="M45" s="186"/>
      <c r="N45" s="134"/>
      <c r="P45" s="36"/>
      <c r="Q45" s="36"/>
      <c r="R45" s="36"/>
    </row>
    <row r="46" spans="1:19" s="37" customFormat="1" ht="17.25">
      <c r="A46" s="189" t="s">
        <v>76</v>
      </c>
      <c r="B46" s="190"/>
      <c r="C46" s="190"/>
      <c r="D46" s="191"/>
      <c r="E46" s="191"/>
      <c r="F46" s="191"/>
      <c r="G46" s="191"/>
      <c r="H46" s="192"/>
      <c r="I46" s="193"/>
      <c r="J46" s="193"/>
      <c r="K46" s="193"/>
      <c r="L46" s="193"/>
      <c r="M46" s="194"/>
      <c r="N46" s="134"/>
      <c r="P46" s="36"/>
      <c r="Q46" s="36"/>
      <c r="R46" s="36"/>
    </row>
    <row r="47" spans="1:19" ht="15.75">
      <c r="A47" s="189" t="s">
        <v>77</v>
      </c>
      <c r="B47" s="190"/>
      <c r="C47" s="190"/>
      <c r="D47" s="191"/>
      <c r="E47" s="191"/>
      <c r="F47" s="191"/>
      <c r="G47" s="183"/>
      <c r="H47" s="184"/>
      <c r="I47" s="185"/>
      <c r="J47" s="185"/>
      <c r="K47" s="185"/>
      <c r="L47" s="185"/>
      <c r="M47" s="186"/>
      <c r="N47" s="139"/>
      <c r="P47" s="52"/>
      <c r="Q47" s="52"/>
      <c r="R47" s="52"/>
      <c r="S47" s="53"/>
    </row>
    <row r="48" spans="1:19" ht="15.75">
      <c r="A48" s="189" t="s">
        <v>78</v>
      </c>
      <c r="B48" s="190"/>
      <c r="C48" s="190"/>
      <c r="D48" s="191"/>
      <c r="E48" s="191"/>
      <c r="F48" s="191"/>
      <c r="G48" s="183"/>
      <c r="H48" s="184"/>
      <c r="I48" s="185"/>
      <c r="J48" s="185"/>
      <c r="K48" s="185"/>
      <c r="L48" s="185"/>
      <c r="M48" s="186"/>
      <c r="N48" s="139"/>
      <c r="P48" s="52"/>
      <c r="Q48" s="52"/>
      <c r="R48" s="52"/>
      <c r="S48" s="53"/>
    </row>
    <row r="49" spans="1:13" ht="15.75">
      <c r="A49" s="189" t="s">
        <v>79</v>
      </c>
      <c r="B49" s="190"/>
      <c r="C49" s="190"/>
      <c r="D49" s="191"/>
      <c r="E49" s="191"/>
      <c r="F49" s="191"/>
      <c r="G49" s="183"/>
      <c r="H49" s="184"/>
      <c r="I49" s="185"/>
      <c r="J49" s="185"/>
      <c r="K49" s="185"/>
      <c r="L49" s="185"/>
      <c r="M49" s="186"/>
    </row>
    <row r="50" spans="1:13">
      <c r="A50" s="55" t="s">
        <v>54</v>
      </c>
      <c r="B50" s="56"/>
      <c r="C50" s="56"/>
      <c r="D50" s="57"/>
      <c r="E50" s="57"/>
      <c r="F50" s="57"/>
      <c r="G50" s="57"/>
      <c r="H50" s="57"/>
      <c r="I50" s="58"/>
      <c r="J50" s="58"/>
      <c r="K50" s="58"/>
      <c r="L50" s="59"/>
      <c r="M50" s="60"/>
    </row>
    <row r="51" spans="1:13" ht="17.25">
      <c r="A51" s="55"/>
      <c r="B51" s="56"/>
      <c r="C51" s="56"/>
      <c r="D51" s="57"/>
      <c r="E51" s="57"/>
      <c r="F51" s="57"/>
      <c r="G51" s="57"/>
      <c r="H51" s="57"/>
      <c r="I51" s="280"/>
      <c r="J51" s="280"/>
      <c r="K51" s="280"/>
      <c r="L51" s="280"/>
      <c r="M51" s="281"/>
    </row>
    <row r="52" spans="1:13" ht="18" thickBot="1">
      <c r="A52" s="282" t="str">
        <f>+A3</f>
        <v>HO CHANG INTERNATIONAL CO., LTD</v>
      </c>
      <c r="B52" s="283"/>
      <c r="C52" s="283"/>
      <c r="D52" s="283"/>
      <c r="E52" s="283"/>
      <c r="F52" s="283"/>
      <c r="G52" s="283"/>
      <c r="H52" s="283"/>
      <c r="I52" s="283"/>
      <c r="J52" s="283"/>
      <c r="K52" s="283"/>
      <c r="L52" s="283"/>
      <c r="M52" s="284"/>
    </row>
  </sheetData>
  <mergeCells count="21">
    <mergeCell ref="A43:I43"/>
    <mergeCell ref="I51:M51"/>
    <mergeCell ref="A52:M52"/>
    <mergeCell ref="A25:C25"/>
    <mergeCell ref="D25:G25"/>
    <mergeCell ref="H25:I25"/>
    <mergeCell ref="J25:K25"/>
    <mergeCell ref="D28:G28"/>
    <mergeCell ref="A22:C22"/>
    <mergeCell ref="D22:G22"/>
    <mergeCell ref="A23:C23"/>
    <mergeCell ref="D23:G23"/>
    <mergeCell ref="A24:C24"/>
    <mergeCell ref="D24:G24"/>
    <mergeCell ref="A21:C21"/>
    <mergeCell ref="D21:G21"/>
    <mergeCell ref="A1:M1"/>
    <mergeCell ref="H2:M2"/>
    <mergeCell ref="I3:M3"/>
    <mergeCell ref="H4:M4"/>
    <mergeCell ref="L8:M8"/>
  </mergeCells>
  <printOptions horizontalCentered="1"/>
  <pageMargins left="0.25" right="0.25" top="0.5" bottom="0.5" header="0" footer="0"/>
  <pageSetup paperSize="9" scale="51"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view="pageBreakPreview" zoomScaleNormal="85" zoomScaleSheetLayoutView="100" workbookViewId="0">
      <selection activeCell="F29" sqref="F29"/>
    </sheetView>
  </sheetViews>
  <sheetFormatPr defaultColWidth="7.625" defaultRowHeight="15"/>
  <cols>
    <col min="1" max="3" width="9.875" style="38" customWidth="1"/>
    <col min="4" max="4" width="8.125" style="38" bestFit="1" customWidth="1"/>
    <col min="5" max="5" width="18.75" style="38" bestFit="1" customWidth="1"/>
    <col min="6" max="6" width="28.75" style="38" bestFit="1" customWidth="1"/>
    <col min="7" max="7" width="21" style="38" bestFit="1" customWidth="1"/>
    <col min="8" max="8" width="11.125" style="38" customWidth="1"/>
    <col min="9" max="10" width="11.125" style="61" customWidth="1"/>
    <col min="11" max="11" width="9" style="61" customWidth="1"/>
    <col min="12" max="12" width="13.125" style="62" customWidth="1"/>
    <col min="13" max="13" width="17.375" style="36" customWidth="1"/>
    <col min="14" max="14" width="8.875" style="134" customWidth="1"/>
    <col min="15" max="15" width="26.875" style="37" customWidth="1"/>
    <col min="16" max="16" width="14.125" style="36" customWidth="1"/>
    <col min="17" max="17" width="7.625" style="36" customWidth="1"/>
    <col min="18" max="18" width="7.625" style="36"/>
    <col min="19" max="16384" width="7.625" style="38"/>
  </cols>
  <sheetData>
    <row r="1" spans="1:18" ht="47.25" customHeight="1">
      <c r="A1" s="255" t="s">
        <v>0</v>
      </c>
      <c r="B1" s="256"/>
      <c r="C1" s="256"/>
      <c r="D1" s="256"/>
      <c r="E1" s="256"/>
      <c r="F1" s="256"/>
      <c r="G1" s="256"/>
      <c r="H1" s="256"/>
      <c r="I1" s="256"/>
      <c r="J1" s="256"/>
      <c r="K1" s="256"/>
      <c r="L1" s="256"/>
      <c r="M1" s="257"/>
    </row>
    <row r="2" spans="1:18" s="41" customFormat="1" ht="21" customHeight="1">
      <c r="A2" s="100" t="s">
        <v>41</v>
      </c>
      <c r="B2" s="101"/>
      <c r="C2" s="101"/>
      <c r="D2" s="101"/>
      <c r="E2" s="101"/>
      <c r="F2" s="101"/>
      <c r="G2" s="101"/>
      <c r="H2" s="258" t="s">
        <v>113</v>
      </c>
      <c r="I2" s="259" t="s">
        <v>42</v>
      </c>
      <c r="J2" s="259"/>
      <c r="K2" s="259"/>
      <c r="L2" s="259"/>
      <c r="M2" s="260"/>
      <c r="N2" s="171"/>
      <c r="O2" s="40"/>
      <c r="P2" s="39"/>
      <c r="Q2" s="39"/>
      <c r="R2" s="39"/>
    </row>
    <row r="3" spans="1:18" ht="19.5" customHeight="1">
      <c r="A3" s="76" t="s">
        <v>73</v>
      </c>
      <c r="B3" s="77"/>
      <c r="C3" s="77"/>
      <c r="D3" s="77"/>
      <c r="E3" s="77"/>
      <c r="F3" s="77"/>
      <c r="G3" s="77"/>
      <c r="H3" s="78" t="s">
        <v>1</v>
      </c>
      <c r="I3" s="261">
        <v>46253</v>
      </c>
      <c r="J3" s="261"/>
      <c r="K3" s="261"/>
      <c r="L3" s="261"/>
      <c r="M3" s="262"/>
      <c r="N3" s="171"/>
    </row>
    <row r="4" spans="1:18" ht="19.5" customHeight="1">
      <c r="A4" s="75" t="s">
        <v>94</v>
      </c>
      <c r="B4" s="74"/>
      <c r="C4" s="74"/>
      <c r="D4" s="74"/>
      <c r="E4" s="74"/>
      <c r="F4" s="74"/>
      <c r="G4" s="74"/>
      <c r="H4" s="263" t="s">
        <v>67</v>
      </c>
      <c r="I4" s="264"/>
      <c r="J4" s="264"/>
      <c r="K4" s="264"/>
      <c r="L4" s="264"/>
      <c r="M4" s="265"/>
      <c r="N4" s="171"/>
    </row>
    <row r="5" spans="1:18" ht="19.5" customHeight="1">
      <c r="A5" s="75" t="s">
        <v>95</v>
      </c>
      <c r="B5" s="74"/>
      <c r="C5" s="74"/>
      <c r="D5" s="74"/>
      <c r="E5" s="74"/>
      <c r="F5" s="79"/>
      <c r="G5" s="79"/>
      <c r="H5" s="236" t="s">
        <v>68</v>
      </c>
      <c r="I5" s="80"/>
      <c r="J5" s="80"/>
      <c r="K5" s="80"/>
      <c r="L5" s="80"/>
      <c r="M5" s="81"/>
      <c r="N5" s="171"/>
    </row>
    <row r="6" spans="1:18" ht="19.5" customHeight="1">
      <c r="A6" s="75" t="s">
        <v>91</v>
      </c>
      <c r="B6" s="74"/>
      <c r="C6" s="74"/>
      <c r="D6" s="74"/>
      <c r="E6" s="74"/>
      <c r="F6" s="79"/>
      <c r="G6" s="79"/>
      <c r="H6" s="236"/>
      <c r="I6" s="80"/>
      <c r="J6" s="80"/>
      <c r="K6" s="80"/>
      <c r="L6" s="80"/>
      <c r="M6" s="81"/>
      <c r="N6" s="171"/>
    </row>
    <row r="7" spans="1:18" ht="19.5" customHeight="1">
      <c r="A7" s="75" t="s">
        <v>90</v>
      </c>
      <c r="B7" s="74"/>
      <c r="C7" s="74"/>
      <c r="D7" s="74"/>
      <c r="E7" s="74"/>
      <c r="F7" s="79"/>
      <c r="G7" s="79"/>
      <c r="H7" s="236"/>
      <c r="I7" s="80"/>
      <c r="J7" s="80"/>
      <c r="K7" s="80"/>
      <c r="L7" s="80"/>
      <c r="M7" s="81"/>
      <c r="N7" s="171"/>
    </row>
    <row r="8" spans="1:18" ht="19.5" customHeight="1">
      <c r="A8" s="165"/>
      <c r="B8" s="166"/>
      <c r="C8" s="166"/>
      <c r="D8" s="166"/>
      <c r="E8" s="166"/>
      <c r="F8" s="166"/>
      <c r="G8" s="166"/>
      <c r="H8" s="167"/>
      <c r="I8" s="168"/>
      <c r="J8" s="168"/>
      <c r="K8" s="168"/>
      <c r="L8" s="266"/>
      <c r="M8" s="267"/>
    </row>
    <row r="9" spans="1:18" ht="19.5" customHeight="1">
      <c r="A9" s="84" t="s">
        <v>43</v>
      </c>
      <c r="B9" s="85"/>
      <c r="C9" s="85"/>
      <c r="D9" s="85"/>
      <c r="E9" s="85"/>
      <c r="F9" s="85"/>
      <c r="G9" s="85"/>
      <c r="H9" s="88" t="s">
        <v>102</v>
      </c>
      <c r="I9" s="86"/>
      <c r="J9" s="86"/>
      <c r="K9" s="86"/>
      <c r="L9" s="86"/>
      <c r="M9" s="87"/>
    </row>
    <row r="10" spans="1:18" ht="19.5" customHeight="1">
      <c r="A10" s="89" t="s">
        <v>96</v>
      </c>
      <c r="B10" s="77"/>
      <c r="C10" s="77"/>
      <c r="D10" s="77"/>
      <c r="E10" s="77"/>
      <c r="F10" s="77"/>
      <c r="G10" s="77"/>
      <c r="H10" s="88"/>
      <c r="I10" s="86"/>
      <c r="J10" s="86"/>
      <c r="K10" s="86"/>
      <c r="L10" s="86"/>
      <c r="M10" s="87"/>
    </row>
    <row r="11" spans="1:18" ht="19.5" customHeight="1">
      <c r="A11" s="133" t="s">
        <v>97</v>
      </c>
      <c r="B11" s="79"/>
      <c r="C11" s="79"/>
      <c r="D11" s="79"/>
      <c r="E11" s="79"/>
      <c r="F11" s="79"/>
      <c r="G11" s="79"/>
      <c r="H11" s="88"/>
      <c r="I11" s="86"/>
      <c r="J11" s="86"/>
      <c r="K11" s="86"/>
      <c r="L11" s="86"/>
      <c r="M11" s="87"/>
    </row>
    <row r="12" spans="1:18" ht="19.5" customHeight="1">
      <c r="A12" s="133" t="s">
        <v>98</v>
      </c>
      <c r="B12" s="79"/>
      <c r="C12" s="79"/>
      <c r="D12" s="79"/>
      <c r="E12" s="79"/>
      <c r="F12" s="79"/>
      <c r="G12" s="79"/>
      <c r="H12" s="88"/>
      <c r="I12" s="86"/>
      <c r="J12" s="86"/>
      <c r="K12" s="86"/>
      <c r="L12" s="86"/>
      <c r="M12" s="87"/>
    </row>
    <row r="13" spans="1:18" ht="19.5" customHeight="1">
      <c r="A13" s="133" t="s">
        <v>99</v>
      </c>
      <c r="B13" s="79"/>
      <c r="C13" s="79"/>
      <c r="D13" s="79"/>
      <c r="E13" s="79"/>
      <c r="F13" s="79"/>
      <c r="G13" s="79"/>
      <c r="H13" s="88"/>
      <c r="I13" s="86"/>
      <c r="J13" s="86"/>
      <c r="K13" s="86"/>
      <c r="L13" s="86"/>
      <c r="M13" s="87"/>
    </row>
    <row r="14" spans="1:18" ht="19.5" customHeight="1">
      <c r="A14" s="133" t="s">
        <v>100</v>
      </c>
      <c r="B14" s="79"/>
      <c r="C14" s="79"/>
      <c r="D14" s="79"/>
      <c r="E14" s="79"/>
      <c r="F14" s="79"/>
      <c r="G14" s="79"/>
      <c r="H14" s="88"/>
      <c r="I14" s="86"/>
      <c r="J14" s="86"/>
      <c r="K14" s="86"/>
      <c r="L14" s="86"/>
      <c r="M14" s="87"/>
    </row>
    <row r="15" spans="1:18" ht="19.5" customHeight="1">
      <c r="A15" s="102" t="s">
        <v>44</v>
      </c>
      <c r="B15" s="103"/>
      <c r="C15" s="103"/>
      <c r="D15" s="103"/>
      <c r="E15" s="103"/>
      <c r="F15" s="103"/>
      <c r="G15" s="104"/>
      <c r="H15" s="86"/>
      <c r="I15" s="86"/>
      <c r="J15" s="86"/>
      <c r="K15" s="86"/>
      <c r="L15" s="86"/>
      <c r="M15" s="87"/>
    </row>
    <row r="16" spans="1:18" ht="19.5" customHeight="1">
      <c r="A16" s="89" t="s">
        <v>40</v>
      </c>
      <c r="B16" s="77"/>
      <c r="C16" s="77"/>
      <c r="D16" s="77"/>
      <c r="E16" s="77"/>
      <c r="F16" s="77"/>
      <c r="G16" s="90"/>
      <c r="H16" s="86"/>
      <c r="I16" s="86"/>
      <c r="J16" s="86"/>
      <c r="K16" s="86"/>
      <c r="L16" s="86"/>
      <c r="M16" s="87"/>
    </row>
    <row r="17" spans="1:18" ht="19.5" customHeight="1">
      <c r="A17" s="82" t="s">
        <v>66</v>
      </c>
      <c r="B17" s="79"/>
      <c r="C17" s="79"/>
      <c r="D17" s="79"/>
      <c r="E17" s="79"/>
      <c r="F17" s="79"/>
      <c r="G17" s="91"/>
      <c r="H17" s="86"/>
      <c r="I17" s="86"/>
      <c r="J17" s="86"/>
      <c r="K17" s="86"/>
      <c r="L17" s="86"/>
      <c r="M17" s="87"/>
    </row>
    <row r="18" spans="1:18" ht="19.5" customHeight="1">
      <c r="A18" s="82" t="s">
        <v>72</v>
      </c>
      <c r="B18" s="79"/>
      <c r="C18" s="79"/>
      <c r="D18" s="79"/>
      <c r="E18" s="79"/>
      <c r="F18" s="79"/>
      <c r="G18" s="91"/>
      <c r="H18" s="86"/>
      <c r="I18" s="86"/>
      <c r="J18" s="86"/>
      <c r="K18" s="86"/>
      <c r="L18" s="86"/>
      <c r="M18" s="87"/>
    </row>
    <row r="19" spans="1:18" ht="19.5" customHeight="1">
      <c r="A19" s="82" t="s">
        <v>3</v>
      </c>
      <c r="B19" s="79"/>
      <c r="C19" s="79"/>
      <c r="D19" s="79"/>
      <c r="E19" s="79"/>
      <c r="F19" s="79"/>
      <c r="G19" s="91"/>
      <c r="H19" s="86"/>
      <c r="I19" s="86"/>
      <c r="J19" s="86"/>
      <c r="K19" s="86"/>
      <c r="L19" s="86"/>
      <c r="M19" s="87"/>
    </row>
    <row r="20" spans="1:18" ht="19.5" customHeight="1">
      <c r="A20" s="82" t="s">
        <v>18</v>
      </c>
      <c r="B20" s="83"/>
      <c r="C20" s="83"/>
      <c r="D20" s="83"/>
      <c r="E20" s="83"/>
      <c r="F20" s="83"/>
      <c r="G20" s="92"/>
      <c r="H20" s="88"/>
      <c r="I20" s="86"/>
      <c r="J20" s="86"/>
      <c r="K20" s="86"/>
      <c r="L20" s="86"/>
      <c r="M20" s="87"/>
    </row>
    <row r="21" spans="1:18" s="41" customFormat="1" ht="24" customHeight="1">
      <c r="A21" s="251" t="s">
        <v>45</v>
      </c>
      <c r="B21" s="252"/>
      <c r="C21" s="253"/>
      <c r="D21" s="254" t="s">
        <v>46</v>
      </c>
      <c r="E21" s="254"/>
      <c r="F21" s="254"/>
      <c r="G21" s="254"/>
      <c r="H21" s="88"/>
      <c r="I21" s="86"/>
      <c r="J21" s="86"/>
      <c r="K21" s="86"/>
      <c r="L21" s="86"/>
      <c r="M21" s="87"/>
      <c r="N21" s="134"/>
      <c r="O21" s="40"/>
      <c r="P21" s="39"/>
      <c r="Q21" s="39"/>
      <c r="R21" s="39"/>
    </row>
    <row r="22" spans="1:18" ht="24" customHeight="1">
      <c r="A22" s="268" t="s">
        <v>47</v>
      </c>
      <c r="B22" s="269"/>
      <c r="C22" s="270"/>
      <c r="D22" s="271" t="s">
        <v>3</v>
      </c>
      <c r="E22" s="271"/>
      <c r="F22" s="271"/>
      <c r="G22" s="271"/>
      <c r="H22" s="88"/>
      <c r="I22" s="86"/>
      <c r="J22" s="86"/>
      <c r="K22" s="86"/>
      <c r="L22" s="86"/>
      <c r="M22" s="87"/>
      <c r="N22" s="135"/>
    </row>
    <row r="23" spans="1:18" s="41" customFormat="1" ht="24" customHeight="1">
      <c r="A23" s="251" t="s">
        <v>48</v>
      </c>
      <c r="B23" s="252"/>
      <c r="C23" s="252"/>
      <c r="D23" s="272" t="s">
        <v>49</v>
      </c>
      <c r="E23" s="252"/>
      <c r="F23" s="252"/>
      <c r="G23" s="253"/>
      <c r="H23" s="86"/>
      <c r="I23" s="86"/>
      <c r="J23" s="86"/>
      <c r="K23" s="86"/>
      <c r="L23" s="86"/>
      <c r="M23" s="87"/>
      <c r="N23" s="135"/>
      <c r="O23" s="40"/>
      <c r="P23" s="39"/>
      <c r="Q23" s="39"/>
      <c r="R23" s="39"/>
    </row>
    <row r="24" spans="1:18" ht="24" customHeight="1">
      <c r="A24" s="273" t="s">
        <v>101</v>
      </c>
      <c r="B24" s="274"/>
      <c r="C24" s="274"/>
      <c r="D24" s="275">
        <v>46253</v>
      </c>
      <c r="E24" s="276"/>
      <c r="F24" s="276"/>
      <c r="G24" s="277"/>
      <c r="H24" s="86"/>
      <c r="I24" s="86"/>
      <c r="J24" s="86"/>
      <c r="K24" s="86"/>
      <c r="L24" s="86"/>
      <c r="M24" s="87"/>
      <c r="N24" s="135"/>
    </row>
    <row r="25" spans="1:18" ht="21.75" customHeight="1" thickBot="1">
      <c r="A25" s="285" t="s">
        <v>50</v>
      </c>
      <c r="B25" s="285"/>
      <c r="C25" s="286"/>
      <c r="D25" s="287" t="s">
        <v>4</v>
      </c>
      <c r="E25" s="288"/>
      <c r="F25" s="288"/>
      <c r="G25" s="289"/>
      <c r="H25" s="290" t="s">
        <v>69</v>
      </c>
      <c r="I25" s="291"/>
      <c r="J25" s="290" t="s">
        <v>69</v>
      </c>
      <c r="K25" s="291"/>
      <c r="L25" s="42" t="s">
        <v>5</v>
      </c>
      <c r="M25" s="43" t="s">
        <v>22</v>
      </c>
    </row>
    <row r="26" spans="1:18" ht="15.75" thickTop="1">
      <c r="A26" s="215"/>
      <c r="B26" s="216"/>
      <c r="C26" s="217"/>
      <c r="D26" s="44" t="s">
        <v>37</v>
      </c>
      <c r="E26" s="44" t="s">
        <v>19</v>
      </c>
      <c r="F26" s="44" t="s">
        <v>20</v>
      </c>
      <c r="G26" s="45" t="s">
        <v>38</v>
      </c>
      <c r="H26" s="63"/>
      <c r="I26" s="64"/>
      <c r="J26" s="98"/>
      <c r="K26" s="98"/>
      <c r="L26" s="46"/>
      <c r="M26" s="47"/>
      <c r="N26" s="136"/>
    </row>
    <row r="27" spans="1:18">
      <c r="A27" s="218" t="s">
        <v>84</v>
      </c>
      <c r="B27" s="219"/>
      <c r="C27" s="220"/>
      <c r="D27" s="93" t="s">
        <v>104</v>
      </c>
      <c r="E27" s="93" t="s">
        <v>106</v>
      </c>
      <c r="F27" s="93" t="s">
        <v>108</v>
      </c>
      <c r="G27" s="94" t="s">
        <v>109</v>
      </c>
      <c r="H27" s="65">
        <v>4</v>
      </c>
      <c r="I27" s="95" t="s">
        <v>6</v>
      </c>
      <c r="J27" s="99">
        <v>0.33333333333333331</v>
      </c>
      <c r="K27" s="99" t="s">
        <v>70</v>
      </c>
      <c r="L27" s="46">
        <v>6.5</v>
      </c>
      <c r="M27" s="47">
        <v>26</v>
      </c>
      <c r="N27" s="136"/>
    </row>
    <row r="28" spans="1:18">
      <c r="A28" s="222" t="s">
        <v>85</v>
      </c>
      <c r="B28" s="219"/>
      <c r="C28" s="220"/>
      <c r="D28" s="292" t="s">
        <v>7</v>
      </c>
      <c r="E28" s="292"/>
      <c r="F28" s="292"/>
      <c r="G28" s="292"/>
      <c r="H28" s="172">
        <v>4</v>
      </c>
      <c r="I28" s="96" t="s">
        <v>6</v>
      </c>
      <c r="J28" s="96">
        <v>0.33333333333333331</v>
      </c>
      <c r="K28" s="96" t="s">
        <v>70</v>
      </c>
      <c r="L28" s="97"/>
      <c r="M28" s="243">
        <v>26</v>
      </c>
      <c r="N28" s="136"/>
    </row>
    <row r="29" spans="1:18">
      <c r="A29" s="222" t="s">
        <v>86</v>
      </c>
      <c r="B29" s="219"/>
      <c r="C29" s="219"/>
      <c r="D29" s="242"/>
      <c r="E29" s="242"/>
      <c r="F29" s="242"/>
      <c r="G29" s="242"/>
      <c r="H29" s="239"/>
      <c r="I29" s="240"/>
      <c r="J29" s="240"/>
      <c r="K29" s="240"/>
      <c r="L29" s="241"/>
      <c r="M29" s="241"/>
      <c r="N29" s="136"/>
    </row>
    <row r="30" spans="1:18">
      <c r="A30" s="244" t="s">
        <v>87</v>
      </c>
      <c r="B30" s="221"/>
      <c r="C30" s="221"/>
      <c r="D30" s="245"/>
      <c r="E30" s="245"/>
      <c r="F30" s="245"/>
      <c r="G30" s="245"/>
      <c r="H30" s="246"/>
      <c r="I30" s="247"/>
      <c r="J30" s="247"/>
      <c r="K30" s="247"/>
      <c r="L30" s="248"/>
      <c r="M30" s="248"/>
      <c r="N30" s="136"/>
    </row>
    <row r="31" spans="1:18" s="37" customFormat="1" ht="19.5" customHeight="1">
      <c r="A31" s="54"/>
      <c r="B31" s="149"/>
      <c r="C31" s="149"/>
      <c r="D31" s="149"/>
      <c r="E31" s="149"/>
      <c r="F31" s="149"/>
      <c r="G31" s="149"/>
      <c r="H31" s="149"/>
      <c r="I31" s="149"/>
      <c r="J31" s="149"/>
      <c r="K31" s="149"/>
      <c r="L31" s="149"/>
      <c r="M31" s="150"/>
      <c r="N31" s="137"/>
      <c r="P31" s="36"/>
      <c r="Q31" s="36"/>
      <c r="R31" s="36"/>
    </row>
    <row r="32" spans="1:18" s="37" customFormat="1" ht="15" customHeight="1">
      <c r="A32" s="54"/>
      <c r="B32" s="149"/>
      <c r="C32" s="149"/>
      <c r="D32" s="149"/>
      <c r="E32" s="149"/>
      <c r="F32" s="149"/>
      <c r="G32" s="149"/>
      <c r="H32" s="149"/>
      <c r="I32" s="149"/>
      <c r="J32" s="149"/>
      <c r="K32" s="149"/>
      <c r="L32" s="149"/>
      <c r="M32" s="154" t="s">
        <v>112</v>
      </c>
      <c r="N32" s="134"/>
      <c r="O32" s="249"/>
      <c r="P32" s="36"/>
      <c r="Q32" s="36"/>
      <c r="R32" s="36"/>
    </row>
    <row r="33" spans="1:19" s="37" customFormat="1" ht="18.95" customHeight="1" thickBot="1">
      <c r="A33" s="151"/>
      <c r="B33" s="152"/>
      <c r="C33" s="152"/>
      <c r="D33" s="152"/>
      <c r="E33" s="152"/>
      <c r="F33" s="152"/>
      <c r="G33" s="152"/>
      <c r="H33" s="152"/>
      <c r="I33" s="152"/>
      <c r="J33" s="152"/>
      <c r="K33" s="152"/>
      <c r="L33" s="152"/>
      <c r="M33" s="153"/>
      <c r="N33" s="199"/>
      <c r="O33" s="147"/>
      <c r="P33" s="36"/>
      <c r="Q33" s="36"/>
      <c r="R33" s="36"/>
    </row>
    <row r="34" spans="1:19" s="37" customFormat="1" ht="15" hidden="1" customHeight="1">
      <c r="A34" s="48"/>
      <c r="B34" s="49"/>
      <c r="C34" s="49"/>
      <c r="D34" s="49"/>
      <c r="E34" s="49"/>
      <c r="F34" s="49"/>
      <c r="G34" s="49"/>
      <c r="H34" s="50"/>
      <c r="I34" s="238"/>
      <c r="J34" s="238"/>
      <c r="K34" s="238"/>
      <c r="L34" s="238"/>
      <c r="M34" s="51"/>
      <c r="N34" s="138"/>
      <c r="P34" s="36"/>
      <c r="Q34" s="36"/>
      <c r="R34" s="36"/>
    </row>
    <row r="35" spans="1:19" s="37" customFormat="1" ht="15" hidden="1" customHeight="1">
      <c r="A35" s="48"/>
      <c r="B35" s="49"/>
      <c r="C35" s="49"/>
      <c r="D35" s="49"/>
      <c r="E35" s="49"/>
      <c r="F35" s="49"/>
      <c r="G35" s="49"/>
      <c r="H35" s="50"/>
      <c r="I35" s="238"/>
      <c r="J35" s="238"/>
      <c r="K35" s="238"/>
      <c r="L35" s="238"/>
      <c r="M35" s="51"/>
      <c r="N35" s="134"/>
      <c r="P35" s="36"/>
      <c r="Q35" s="36"/>
      <c r="R35" s="36"/>
    </row>
    <row r="36" spans="1:19" s="37" customFormat="1" ht="15" hidden="1" customHeight="1">
      <c r="A36" s="48"/>
      <c r="B36" s="49"/>
      <c r="C36" s="49"/>
      <c r="D36" s="49"/>
      <c r="E36" s="49"/>
      <c r="F36" s="49"/>
      <c r="G36" s="49"/>
      <c r="H36" s="50"/>
      <c r="I36" s="238"/>
      <c r="J36" s="238"/>
      <c r="K36" s="238"/>
      <c r="L36" s="238"/>
      <c r="M36" s="51"/>
      <c r="N36" s="134"/>
      <c r="P36" s="36"/>
      <c r="Q36" s="36"/>
      <c r="R36" s="36"/>
    </row>
    <row r="37" spans="1:19" s="37" customFormat="1" ht="15" hidden="1" customHeight="1">
      <c r="A37" s="48"/>
      <c r="B37" s="49"/>
      <c r="C37" s="49"/>
      <c r="D37" s="49"/>
      <c r="E37" s="49"/>
      <c r="F37" s="49"/>
      <c r="G37" s="49"/>
      <c r="H37" s="50"/>
      <c r="I37" s="238"/>
      <c r="J37" s="238"/>
      <c r="K37" s="238"/>
      <c r="L37" s="238"/>
      <c r="M37" s="51"/>
      <c r="N37" s="134"/>
      <c r="P37" s="36"/>
      <c r="Q37" s="36"/>
      <c r="R37" s="36"/>
    </row>
    <row r="38" spans="1:19" s="37" customFormat="1" ht="15" hidden="1" customHeight="1">
      <c r="A38" s="48"/>
      <c r="B38" s="49"/>
      <c r="C38" s="49"/>
      <c r="D38" s="49"/>
      <c r="E38" s="49"/>
      <c r="F38" s="49"/>
      <c r="G38" s="49"/>
      <c r="H38" s="50"/>
      <c r="I38" s="238"/>
      <c r="J38" s="238"/>
      <c r="K38" s="238"/>
      <c r="L38" s="238"/>
      <c r="M38" s="51"/>
      <c r="N38" s="134"/>
      <c r="P38" s="36"/>
      <c r="Q38" s="36"/>
      <c r="R38" s="36"/>
    </row>
    <row r="39" spans="1:19" s="37" customFormat="1" ht="15" hidden="1" customHeight="1">
      <c r="A39" s="48"/>
      <c r="B39" s="49"/>
      <c r="C39" s="49"/>
      <c r="D39" s="49"/>
      <c r="E39" s="49"/>
      <c r="F39" s="49"/>
      <c r="G39" s="49"/>
      <c r="H39" s="50"/>
      <c r="I39" s="238"/>
      <c r="J39" s="238"/>
      <c r="K39" s="238"/>
      <c r="L39" s="238"/>
      <c r="M39" s="51"/>
      <c r="N39" s="134"/>
      <c r="P39" s="36"/>
      <c r="Q39" s="36"/>
      <c r="R39" s="36"/>
    </row>
    <row r="40" spans="1:19" s="37" customFormat="1" ht="33.75" hidden="1" customHeight="1">
      <c r="A40" s="48"/>
      <c r="B40" s="49"/>
      <c r="C40" s="49"/>
      <c r="D40" s="49"/>
      <c r="E40" s="49"/>
      <c r="F40" s="49"/>
      <c r="G40" s="49"/>
      <c r="H40" s="50"/>
      <c r="I40" s="238"/>
      <c r="J40" s="238"/>
      <c r="K40" s="238"/>
      <c r="L40" s="238"/>
      <c r="M40" s="51"/>
      <c r="N40" s="134"/>
      <c r="P40" s="36"/>
      <c r="Q40" s="36"/>
      <c r="R40" s="36"/>
    </row>
    <row r="41" spans="1:19" s="37" customFormat="1" ht="38.1" customHeight="1">
      <c r="A41" s="175" t="s">
        <v>51</v>
      </c>
      <c r="B41" s="176"/>
      <c r="C41" s="176"/>
      <c r="D41" s="177"/>
      <c r="E41" s="177"/>
      <c r="F41" s="177"/>
      <c r="G41" s="177"/>
      <c r="H41" s="178"/>
      <c r="I41" s="179"/>
      <c r="J41" s="179"/>
      <c r="K41" s="179"/>
      <c r="L41" s="179"/>
      <c r="M41" s="180"/>
      <c r="N41" s="134"/>
      <c r="P41" s="36"/>
      <c r="Q41" s="36"/>
      <c r="R41" s="36"/>
    </row>
    <row r="42" spans="1:19" s="37" customFormat="1" ht="38.1" customHeight="1">
      <c r="A42" s="181"/>
      <c r="B42" s="182"/>
      <c r="C42" s="182"/>
      <c r="D42" s="183"/>
      <c r="E42" s="183"/>
      <c r="F42" s="183"/>
      <c r="G42" s="183"/>
      <c r="H42" s="184"/>
      <c r="I42" s="185"/>
      <c r="J42" s="185"/>
      <c r="K42" s="185"/>
      <c r="L42" s="185"/>
      <c r="M42" s="186"/>
      <c r="N42" s="134"/>
      <c r="P42" s="36"/>
      <c r="Q42" s="36"/>
      <c r="R42" s="36"/>
    </row>
    <row r="43" spans="1:19" s="37" customFormat="1" ht="38.1" customHeight="1">
      <c r="A43" s="278" t="s">
        <v>52</v>
      </c>
      <c r="B43" s="279"/>
      <c r="C43" s="279"/>
      <c r="D43" s="279"/>
      <c r="E43" s="279"/>
      <c r="F43" s="279"/>
      <c r="G43" s="279"/>
      <c r="H43" s="279"/>
      <c r="I43" s="279"/>
      <c r="J43" s="237"/>
      <c r="K43" s="237"/>
      <c r="L43" s="185"/>
      <c r="M43" s="186"/>
      <c r="N43" s="134"/>
      <c r="P43" s="36"/>
      <c r="Q43" s="36"/>
      <c r="R43" s="36"/>
    </row>
    <row r="44" spans="1:19" s="37" customFormat="1" ht="38.1" customHeight="1">
      <c r="A44" s="188" t="s">
        <v>53</v>
      </c>
      <c r="B44" s="182"/>
      <c r="C44" s="182"/>
      <c r="D44" s="183"/>
      <c r="E44" s="183"/>
      <c r="F44" s="183"/>
      <c r="G44" s="183"/>
      <c r="H44" s="184"/>
      <c r="I44" s="185"/>
      <c r="J44" s="185"/>
      <c r="K44" s="185"/>
      <c r="L44" s="185"/>
      <c r="M44" s="186"/>
      <c r="N44" s="134"/>
      <c r="P44" s="36"/>
      <c r="Q44" s="36"/>
      <c r="R44" s="36"/>
    </row>
    <row r="45" spans="1:19" s="37" customFormat="1" ht="38.1" customHeight="1">
      <c r="A45" s="181" t="s">
        <v>10</v>
      </c>
      <c r="B45" s="182"/>
      <c r="C45" s="182"/>
      <c r="D45" s="183"/>
      <c r="E45" s="183"/>
      <c r="F45" s="183"/>
      <c r="G45" s="183"/>
      <c r="H45" s="184"/>
      <c r="I45" s="185"/>
      <c r="J45" s="185"/>
      <c r="K45" s="185"/>
      <c r="L45" s="185"/>
      <c r="M45" s="186"/>
      <c r="N45" s="134"/>
      <c r="P45" s="36"/>
      <c r="Q45" s="36"/>
      <c r="R45" s="36"/>
    </row>
    <row r="46" spans="1:19" s="37" customFormat="1" ht="17.25">
      <c r="A46" s="189" t="s">
        <v>76</v>
      </c>
      <c r="B46" s="190"/>
      <c r="C46" s="190"/>
      <c r="D46" s="191"/>
      <c r="E46" s="191"/>
      <c r="F46" s="191"/>
      <c r="G46" s="191"/>
      <c r="H46" s="192"/>
      <c r="I46" s="193"/>
      <c r="J46" s="193"/>
      <c r="K46" s="193"/>
      <c r="L46" s="193"/>
      <c r="M46" s="194"/>
      <c r="N46" s="134"/>
      <c r="P46" s="36"/>
      <c r="Q46" s="36"/>
      <c r="R46" s="36"/>
    </row>
    <row r="47" spans="1:19" ht="15.75">
      <c r="A47" s="189" t="s">
        <v>77</v>
      </c>
      <c r="B47" s="190"/>
      <c r="C47" s="190"/>
      <c r="D47" s="191"/>
      <c r="E47" s="191"/>
      <c r="F47" s="191"/>
      <c r="G47" s="183"/>
      <c r="H47" s="184"/>
      <c r="I47" s="185"/>
      <c r="J47" s="185"/>
      <c r="K47" s="185"/>
      <c r="L47" s="185"/>
      <c r="M47" s="186"/>
      <c r="N47" s="139"/>
      <c r="P47" s="52"/>
      <c r="Q47" s="52"/>
      <c r="R47" s="52"/>
      <c r="S47" s="53"/>
    </row>
    <row r="48" spans="1:19" ht="15.75">
      <c r="A48" s="189" t="s">
        <v>78</v>
      </c>
      <c r="B48" s="190"/>
      <c r="C48" s="190"/>
      <c r="D48" s="191"/>
      <c r="E48" s="191"/>
      <c r="F48" s="191"/>
      <c r="G48" s="183"/>
      <c r="H48" s="184"/>
      <c r="I48" s="185"/>
      <c r="J48" s="185"/>
      <c r="K48" s="185"/>
      <c r="L48" s="185"/>
      <c r="M48" s="186"/>
      <c r="N48" s="139"/>
      <c r="P48" s="52"/>
      <c r="Q48" s="52"/>
      <c r="R48" s="52"/>
      <c r="S48" s="53"/>
    </row>
    <row r="49" spans="1:13" ht="15.75">
      <c r="A49" s="189" t="s">
        <v>79</v>
      </c>
      <c r="B49" s="190"/>
      <c r="C49" s="190"/>
      <c r="D49" s="191"/>
      <c r="E49" s="191"/>
      <c r="F49" s="191"/>
      <c r="G49" s="183"/>
      <c r="H49" s="184"/>
      <c r="I49" s="185"/>
      <c r="J49" s="185"/>
      <c r="K49" s="185"/>
      <c r="L49" s="185"/>
      <c r="M49" s="186"/>
    </row>
    <row r="50" spans="1:13">
      <c r="A50" s="55" t="s">
        <v>54</v>
      </c>
      <c r="B50" s="56"/>
      <c r="C50" s="56"/>
      <c r="D50" s="57"/>
      <c r="E50" s="57"/>
      <c r="F50" s="57"/>
      <c r="G50" s="57"/>
      <c r="H50" s="57"/>
      <c r="I50" s="58"/>
      <c r="J50" s="58"/>
      <c r="K50" s="58"/>
      <c r="L50" s="59"/>
      <c r="M50" s="60"/>
    </row>
    <row r="51" spans="1:13" ht="17.25">
      <c r="A51" s="55"/>
      <c r="B51" s="56"/>
      <c r="C51" s="56"/>
      <c r="D51" s="57"/>
      <c r="E51" s="57"/>
      <c r="F51" s="57"/>
      <c r="G51" s="57"/>
      <c r="H51" s="57"/>
      <c r="I51" s="280"/>
      <c r="J51" s="280"/>
      <c r="K51" s="280"/>
      <c r="L51" s="280"/>
      <c r="M51" s="281"/>
    </row>
    <row r="52" spans="1:13" ht="18" thickBot="1">
      <c r="A52" s="282" t="str">
        <f>+A3</f>
        <v>HOCHANG VINA CO., LTD</v>
      </c>
      <c r="B52" s="283"/>
      <c r="C52" s="283"/>
      <c r="D52" s="283"/>
      <c r="E52" s="283"/>
      <c r="F52" s="283"/>
      <c r="G52" s="283"/>
      <c r="H52" s="283"/>
      <c r="I52" s="283"/>
      <c r="J52" s="283"/>
      <c r="K52" s="283"/>
      <c r="L52" s="283"/>
      <c r="M52" s="284"/>
    </row>
  </sheetData>
  <mergeCells count="21">
    <mergeCell ref="A21:C21"/>
    <mergeCell ref="D21:G21"/>
    <mergeCell ref="A1:M1"/>
    <mergeCell ref="H2:M2"/>
    <mergeCell ref="I3:M3"/>
    <mergeCell ref="H4:M4"/>
    <mergeCell ref="L8:M8"/>
    <mergeCell ref="A22:C22"/>
    <mergeCell ref="D22:G22"/>
    <mergeCell ref="A23:C23"/>
    <mergeCell ref="D23:G23"/>
    <mergeCell ref="A24:C24"/>
    <mergeCell ref="D24:G24"/>
    <mergeCell ref="I51:M51"/>
    <mergeCell ref="A52:M52"/>
    <mergeCell ref="A25:C25"/>
    <mergeCell ref="D25:G25"/>
    <mergeCell ref="H25:I25"/>
    <mergeCell ref="J25:K25"/>
    <mergeCell ref="D28:G28"/>
    <mergeCell ref="A43:I43"/>
  </mergeCells>
  <printOptions horizontalCentered="1"/>
  <pageMargins left="0.25" right="0.25" top="0.5" bottom="0.5" header="0" footer="0"/>
  <pageSetup paperSize="9" scale="51"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4"/>
  <sheetViews>
    <sheetView view="pageBreakPreview" topLeftCell="A7" zoomScaleNormal="55" zoomScaleSheetLayoutView="100" workbookViewId="0">
      <selection activeCell="M23" sqref="M23"/>
    </sheetView>
  </sheetViews>
  <sheetFormatPr defaultRowHeight="15"/>
  <cols>
    <col min="1" max="1" width="18.25" style="131" customWidth="1"/>
    <col min="2" max="2" width="11" style="132" customWidth="1"/>
    <col min="3" max="3" width="10.875" style="131" customWidth="1"/>
    <col min="4" max="4" width="11.875" style="131" customWidth="1"/>
    <col min="5" max="5" width="15.75" style="131" customWidth="1"/>
    <col min="6" max="6" width="11.75" style="131" customWidth="1"/>
    <col min="7" max="7" width="14.625" style="131" customWidth="1"/>
    <col min="8" max="8" width="27.75" style="131" customWidth="1"/>
    <col min="9" max="9" width="29.5" style="131" customWidth="1"/>
    <col min="10" max="10" width="23.875" style="5" bestFit="1" customWidth="1"/>
    <col min="11" max="11" width="10.625" style="5" customWidth="1"/>
    <col min="12" max="12" width="8.125" style="5" customWidth="1"/>
    <col min="13" max="13" width="15.75" style="5" customWidth="1"/>
    <col min="14" max="14" width="13.375" style="5" customWidth="1"/>
    <col min="15" max="15" width="14.25" style="5" customWidth="1"/>
    <col min="16" max="17" width="9" style="5"/>
    <col min="18" max="20" width="9.5" style="5" bestFit="1" customWidth="1"/>
    <col min="21" max="21" width="16.125" style="5" bestFit="1" customWidth="1"/>
    <col min="22" max="22" width="9.125" style="5" bestFit="1" customWidth="1"/>
    <col min="23" max="16384" width="9" style="5"/>
  </cols>
  <sheetData>
    <row r="1" spans="1:15" ht="20.25">
      <c r="A1" s="142" t="s">
        <v>39</v>
      </c>
      <c r="B1" s="107"/>
      <c r="C1" s="108"/>
      <c r="D1" s="108"/>
      <c r="E1" s="109"/>
      <c r="F1" s="109"/>
      <c r="G1" s="109"/>
      <c r="H1" s="109"/>
      <c r="I1" s="110"/>
      <c r="J1" s="4"/>
      <c r="K1" s="3"/>
      <c r="L1" s="3"/>
      <c r="M1" s="3"/>
      <c r="N1" s="3"/>
      <c r="O1" s="3"/>
    </row>
    <row r="2" spans="1:15" ht="18">
      <c r="A2" s="143" t="s">
        <v>11</v>
      </c>
      <c r="B2" s="111"/>
      <c r="C2" s="112"/>
      <c r="D2" s="112"/>
      <c r="E2" s="113"/>
      <c r="F2" s="113"/>
      <c r="G2" s="113"/>
      <c r="H2" s="113"/>
      <c r="I2" s="114"/>
      <c r="J2" s="7"/>
      <c r="K2" s="6"/>
      <c r="L2" s="6"/>
      <c r="M2" s="6"/>
      <c r="N2" s="6"/>
      <c r="O2" s="6"/>
    </row>
    <row r="3" spans="1:15" ht="18">
      <c r="A3" s="224" t="s">
        <v>81</v>
      </c>
      <c r="B3" s="111"/>
      <c r="C3" s="112"/>
      <c r="D3" s="112"/>
      <c r="E3" s="113"/>
      <c r="F3" s="113"/>
      <c r="G3" s="113"/>
      <c r="H3" s="113"/>
      <c r="I3" s="114"/>
      <c r="J3" s="7"/>
      <c r="K3" s="6"/>
      <c r="L3" s="6"/>
      <c r="M3" s="6"/>
      <c r="N3" s="6"/>
      <c r="O3" s="6"/>
    </row>
    <row r="4" spans="1:15" ht="18">
      <c r="A4" s="224" t="s">
        <v>82</v>
      </c>
      <c r="B4" s="111"/>
      <c r="C4" s="112"/>
      <c r="D4" s="112"/>
      <c r="E4" s="113"/>
      <c r="F4" s="113"/>
      <c r="G4" s="113"/>
      <c r="H4" s="113"/>
      <c r="I4" s="114"/>
      <c r="J4" s="7"/>
      <c r="K4" s="6"/>
      <c r="L4" s="6"/>
      <c r="M4" s="6"/>
      <c r="N4" s="6"/>
      <c r="O4" s="6"/>
    </row>
    <row r="5" spans="1:15" ht="15.75" thickBot="1">
      <c r="A5" s="144" t="s">
        <v>83</v>
      </c>
      <c r="B5" s="115"/>
      <c r="C5" s="116"/>
      <c r="D5" s="116"/>
      <c r="E5" s="116"/>
      <c r="F5" s="116"/>
      <c r="G5" s="116"/>
      <c r="H5" s="116"/>
      <c r="I5" s="115"/>
      <c r="J5" s="4"/>
      <c r="K5" s="8"/>
      <c r="L5" s="8"/>
      <c r="M5" s="8"/>
      <c r="N5" s="8"/>
      <c r="O5" s="9"/>
    </row>
    <row r="6" spans="1:15" ht="16.5" customHeight="1">
      <c r="A6" s="144" t="s">
        <v>88</v>
      </c>
      <c r="B6" s="115"/>
      <c r="C6" s="116"/>
      <c r="D6" s="116"/>
      <c r="E6" s="116"/>
      <c r="F6" s="116"/>
      <c r="G6" s="116"/>
      <c r="H6" s="116"/>
      <c r="I6" s="115"/>
      <c r="J6" s="10"/>
      <c r="K6" s="11" t="s">
        <v>12</v>
      </c>
      <c r="L6" s="12"/>
      <c r="M6" s="12"/>
      <c r="N6" s="173" t="s">
        <v>104</v>
      </c>
      <c r="O6" s="68"/>
    </row>
    <row r="7" spans="1:15">
      <c r="A7" s="144" t="s">
        <v>89</v>
      </c>
      <c r="B7" s="115"/>
      <c r="C7" s="116"/>
      <c r="D7" s="116"/>
      <c r="E7" s="116"/>
      <c r="F7" s="116"/>
      <c r="G7" s="116"/>
      <c r="H7" s="116"/>
      <c r="I7" s="115"/>
      <c r="J7" s="13"/>
      <c r="K7" s="14" t="s">
        <v>13</v>
      </c>
      <c r="L7" s="15"/>
      <c r="M7" s="15"/>
      <c r="N7" s="32" t="s">
        <v>111</v>
      </c>
      <c r="O7" s="66"/>
    </row>
    <row r="8" spans="1:15" ht="26.25">
      <c r="A8" s="293" t="s">
        <v>8</v>
      </c>
      <c r="B8" s="293"/>
      <c r="C8" s="293"/>
      <c r="D8" s="293"/>
      <c r="E8" s="293"/>
      <c r="F8" s="293"/>
      <c r="G8" s="293"/>
      <c r="H8" s="293"/>
      <c r="I8" s="293"/>
      <c r="J8" s="294"/>
      <c r="K8" s="14" t="s">
        <v>14</v>
      </c>
      <c r="L8" s="15"/>
      <c r="M8" s="15"/>
      <c r="N8" s="32"/>
      <c r="O8" s="66"/>
    </row>
    <row r="9" spans="1:15" ht="15.75">
      <c r="A9" s="117"/>
      <c r="B9" s="118"/>
      <c r="C9" s="119"/>
      <c r="D9" s="119"/>
      <c r="E9" s="120"/>
      <c r="F9" s="120"/>
      <c r="G9" s="120"/>
      <c r="H9" s="120"/>
      <c r="I9" s="120"/>
      <c r="J9" s="16"/>
      <c r="K9" s="14" t="s">
        <v>15</v>
      </c>
      <c r="L9" s="15"/>
      <c r="M9" s="15"/>
      <c r="N9" s="174" t="str">
        <f>+N7</f>
        <v>SMS008/2026/HCINT-TENTREE</v>
      </c>
      <c r="O9" s="66"/>
    </row>
    <row r="10" spans="1:15" ht="15.75">
      <c r="A10" s="121" t="s">
        <v>74</v>
      </c>
      <c r="B10" s="122"/>
      <c r="C10" s="123"/>
      <c r="D10" s="123"/>
      <c r="E10" s="123"/>
      <c r="F10" s="123"/>
      <c r="G10" s="121" t="s">
        <v>2</v>
      </c>
      <c r="H10" s="124"/>
      <c r="I10" s="169"/>
      <c r="J10" s="19"/>
      <c r="K10" s="14" t="s">
        <v>16</v>
      </c>
      <c r="L10" s="15"/>
      <c r="M10" s="15"/>
      <c r="N10" s="69">
        <f>+'INV (HCIN)'!I3</f>
        <v>46253</v>
      </c>
      <c r="O10" s="66"/>
    </row>
    <row r="11" spans="1:15" ht="16.5" thickBot="1">
      <c r="A11" s="1" t="s">
        <v>96</v>
      </c>
      <c r="B11" s="105"/>
      <c r="C11" s="35"/>
      <c r="D11" s="35"/>
      <c r="E11" s="123"/>
      <c r="F11" s="123"/>
      <c r="G11" s="1" t="s">
        <v>40</v>
      </c>
      <c r="H11" s="1"/>
      <c r="I11" s="169"/>
      <c r="J11" s="2"/>
      <c r="K11" s="17" t="s">
        <v>17</v>
      </c>
      <c r="L11" s="18"/>
      <c r="M11" s="18"/>
      <c r="N11" s="70"/>
      <c r="O11" s="67"/>
    </row>
    <row r="12" spans="1:15" ht="15.75">
      <c r="A12" s="2" t="s">
        <v>97</v>
      </c>
      <c r="B12" s="106"/>
      <c r="C12" s="2"/>
      <c r="D12" s="35"/>
      <c r="E12" s="123"/>
      <c r="F12" s="123"/>
      <c r="G12" s="2" t="s">
        <v>66</v>
      </c>
      <c r="H12" s="2"/>
      <c r="I12" s="169"/>
      <c r="J12" s="2"/>
      <c r="K12" s="9"/>
      <c r="L12" s="19"/>
      <c r="M12" s="19"/>
      <c r="N12" s="9"/>
      <c r="O12" s="20"/>
    </row>
    <row r="13" spans="1:15" ht="15.75">
      <c r="A13" s="2" t="s">
        <v>98</v>
      </c>
      <c r="B13" s="106"/>
      <c r="C13" s="2"/>
      <c r="D13" s="35"/>
      <c r="E13" s="123"/>
      <c r="F13" s="123"/>
      <c r="G13" s="2" t="s">
        <v>72</v>
      </c>
      <c r="H13" s="2"/>
      <c r="I13" s="169"/>
      <c r="J13" s="2"/>
      <c r="K13" s="9"/>
      <c r="L13" s="19"/>
      <c r="M13" s="19"/>
      <c r="N13" s="9"/>
      <c r="O13" s="20"/>
    </row>
    <row r="14" spans="1:15" ht="15.75">
      <c r="A14" s="2" t="s">
        <v>99</v>
      </c>
      <c r="B14" s="106"/>
      <c r="C14" s="2"/>
      <c r="D14" s="35"/>
      <c r="E14" s="123"/>
      <c r="F14" s="123"/>
      <c r="G14" s="2" t="s">
        <v>3</v>
      </c>
      <c r="H14" s="2"/>
      <c r="I14" s="2"/>
      <c r="J14" s="2"/>
      <c r="K14" s="9"/>
      <c r="L14" s="19"/>
      <c r="M14" s="19"/>
      <c r="N14" s="9"/>
      <c r="O14" s="20"/>
    </row>
    <row r="15" spans="1:15" ht="15.75">
      <c r="A15" s="2" t="s">
        <v>100</v>
      </c>
      <c r="B15" s="140"/>
      <c r="C15" s="2"/>
      <c r="D15" s="35"/>
      <c r="E15" s="123"/>
      <c r="F15" s="123"/>
      <c r="G15" s="2" t="s">
        <v>18</v>
      </c>
      <c r="H15" s="2"/>
      <c r="I15" s="2"/>
      <c r="J15" s="2"/>
      <c r="K15" s="9"/>
      <c r="L15" s="19"/>
      <c r="M15" s="19"/>
      <c r="N15" s="9"/>
      <c r="O15" s="20"/>
    </row>
    <row r="16" spans="1:15">
      <c r="A16" s="2" t="s">
        <v>92</v>
      </c>
      <c r="B16" s="106"/>
      <c r="C16" s="2"/>
      <c r="D16" s="2"/>
      <c r="E16" s="123"/>
      <c r="F16" s="123"/>
      <c r="G16" s="2"/>
      <c r="H16" s="2"/>
      <c r="I16" s="2"/>
      <c r="J16" s="2"/>
      <c r="K16" s="9"/>
      <c r="L16" s="19"/>
      <c r="M16" s="19"/>
      <c r="N16" s="9"/>
      <c r="O16" s="20"/>
    </row>
    <row r="17" spans="1:18" s="9" customFormat="1">
      <c r="A17" s="125"/>
      <c r="B17" s="125"/>
      <c r="C17" s="126"/>
      <c r="D17" s="126"/>
      <c r="E17" s="126"/>
      <c r="F17" s="126"/>
      <c r="G17" s="126"/>
      <c r="H17" s="126"/>
      <c r="I17" s="126"/>
      <c r="J17" s="21"/>
      <c r="K17" s="22"/>
      <c r="L17" s="23"/>
      <c r="M17" s="23"/>
      <c r="N17" s="23"/>
      <c r="O17" s="23"/>
      <c r="P17" s="5"/>
      <c r="Q17" s="5"/>
    </row>
    <row r="18" spans="1:18" s="9" customFormat="1" ht="25.5">
      <c r="A18" s="127" t="s">
        <v>55</v>
      </c>
      <c r="B18" s="225" t="s">
        <v>75</v>
      </c>
      <c r="C18" s="198" t="s">
        <v>58</v>
      </c>
      <c r="D18" s="156" t="s">
        <v>57</v>
      </c>
      <c r="E18" s="156" t="s">
        <v>56</v>
      </c>
      <c r="F18" s="156" t="s">
        <v>80</v>
      </c>
      <c r="G18" s="198" t="s">
        <v>59</v>
      </c>
      <c r="H18" s="156" t="s">
        <v>20</v>
      </c>
      <c r="I18" s="198" t="s">
        <v>60</v>
      </c>
      <c r="J18" s="250" t="s">
        <v>21</v>
      </c>
      <c r="K18" s="24" t="s">
        <v>61</v>
      </c>
      <c r="L18" s="24" t="s">
        <v>62</v>
      </c>
      <c r="M18" s="24" t="s">
        <v>63</v>
      </c>
      <c r="N18" s="24" t="s">
        <v>64</v>
      </c>
      <c r="O18" s="71" t="s">
        <v>65</v>
      </c>
      <c r="P18" s="5"/>
      <c r="Q18" s="5"/>
    </row>
    <row r="19" spans="1:18" s="30" customFormat="1" ht="51">
      <c r="A19" s="29" t="s">
        <v>93</v>
      </c>
      <c r="B19" s="195" t="s">
        <v>103</v>
      </c>
      <c r="C19" s="128" t="s">
        <v>104</v>
      </c>
      <c r="D19" s="128" t="s">
        <v>105</v>
      </c>
      <c r="E19" s="202" t="s">
        <v>106</v>
      </c>
      <c r="F19" s="128" t="s">
        <v>9</v>
      </c>
      <c r="G19" s="128" t="s">
        <v>107</v>
      </c>
      <c r="H19" s="201" t="s">
        <v>108</v>
      </c>
      <c r="I19" s="201" t="s">
        <v>109</v>
      </c>
      <c r="J19" s="25" t="s">
        <v>110</v>
      </c>
      <c r="K19" s="34">
        <v>4</v>
      </c>
      <c r="L19" s="28" t="s">
        <v>6</v>
      </c>
      <c r="M19" s="72">
        <f>+K19*0.11</f>
        <v>0.44</v>
      </c>
      <c r="N19" s="148">
        <f>+K19*0.125</f>
        <v>0.5</v>
      </c>
      <c r="O19" s="26"/>
      <c r="P19" s="200"/>
      <c r="Q19" s="5"/>
    </row>
    <row r="20" spans="1:18" s="164" customFormat="1" ht="15.75">
      <c r="A20" s="157" t="s">
        <v>22</v>
      </c>
      <c r="B20" s="158"/>
      <c r="C20" s="157"/>
      <c r="D20" s="157"/>
      <c r="E20" s="157"/>
      <c r="F20" s="157"/>
      <c r="G20" s="157"/>
      <c r="H20" s="157"/>
      <c r="I20" s="157"/>
      <c r="J20" s="159"/>
      <c r="K20" s="160">
        <f>SUM(K19:K19)</f>
        <v>4</v>
      </c>
      <c r="L20" s="161"/>
      <c r="M20" s="162">
        <f>SUM(M19:M19)</f>
        <v>0.44</v>
      </c>
      <c r="N20" s="163">
        <f>SUM(N19:N19)</f>
        <v>0.5</v>
      </c>
      <c r="O20" s="159"/>
    </row>
    <row r="21" spans="1:18" ht="16.5">
      <c r="A21" s="129"/>
      <c r="B21" s="130"/>
      <c r="C21" s="129"/>
      <c r="D21" s="129"/>
      <c r="E21" s="129"/>
      <c r="F21" s="129"/>
      <c r="G21" s="129"/>
      <c r="H21" s="129"/>
      <c r="I21" s="129"/>
      <c r="J21" s="73"/>
      <c r="K21" s="73"/>
      <c r="L21" s="73"/>
      <c r="M21"/>
      <c r="N21"/>
      <c r="O21" s="27"/>
    </row>
    <row r="22" spans="1:18" ht="15.95" customHeight="1">
      <c r="A22" s="129"/>
      <c r="B22" s="130"/>
      <c r="C22" s="129"/>
      <c r="D22" s="129"/>
      <c r="E22" s="129"/>
      <c r="F22" s="129"/>
      <c r="G22" s="129"/>
      <c r="H22" s="129"/>
      <c r="I22" s="129"/>
      <c r="J22" s="73"/>
      <c r="K22" s="73"/>
      <c r="L22" s="73"/>
      <c r="M22"/>
      <c r="N22"/>
    </row>
    <row r="23" spans="1:18" s="170" customFormat="1">
      <c r="A23" s="295" t="s">
        <v>23</v>
      </c>
      <c r="B23" s="295"/>
      <c r="C23" s="295"/>
      <c r="D23" s="227" t="s">
        <v>24</v>
      </c>
      <c r="E23" s="227" t="s">
        <v>25</v>
      </c>
      <c r="F23" s="227" t="s">
        <v>71</v>
      </c>
      <c r="G23" s="227" t="s">
        <v>26</v>
      </c>
      <c r="H23" s="227" t="s">
        <v>27</v>
      </c>
      <c r="I23" s="227" t="s">
        <v>28</v>
      </c>
      <c r="J23" s="227" t="s">
        <v>29</v>
      </c>
      <c r="K23" s="227" t="s">
        <v>9</v>
      </c>
      <c r="L23" s="295" t="s">
        <v>22</v>
      </c>
      <c r="O23" s="5"/>
    </row>
    <row r="24" spans="1:18" s="170" customFormat="1">
      <c r="A24" s="295"/>
      <c r="B24" s="295"/>
      <c r="C24" s="295"/>
      <c r="D24" s="227">
        <v>24</v>
      </c>
      <c r="E24" s="227">
        <v>25</v>
      </c>
      <c r="F24" s="227">
        <v>26</v>
      </c>
      <c r="G24" s="227">
        <v>27</v>
      </c>
      <c r="H24" s="227">
        <v>29</v>
      </c>
      <c r="I24" s="227">
        <v>30</v>
      </c>
      <c r="J24" s="227">
        <v>32</v>
      </c>
      <c r="K24" s="227">
        <v>34</v>
      </c>
      <c r="L24" s="295"/>
      <c r="O24" s="5"/>
    </row>
    <row r="25" spans="1:18" s="170" customFormat="1">
      <c r="A25" s="295"/>
      <c r="B25" s="295"/>
      <c r="C25" s="295"/>
      <c r="D25" s="227">
        <v>30</v>
      </c>
      <c r="E25" s="227">
        <v>31</v>
      </c>
      <c r="F25" s="227">
        <v>32</v>
      </c>
      <c r="G25" s="227">
        <v>33</v>
      </c>
      <c r="H25" s="227">
        <v>36</v>
      </c>
      <c r="I25" s="227">
        <v>38</v>
      </c>
      <c r="J25" s="227">
        <v>40</v>
      </c>
      <c r="K25" s="227" t="s">
        <v>30</v>
      </c>
      <c r="L25" s="295"/>
      <c r="O25" s="5"/>
    </row>
    <row r="26" spans="1:18" s="170" customFormat="1" ht="15.75">
      <c r="A26" s="234" t="s">
        <v>106</v>
      </c>
      <c r="B26" s="234" t="s">
        <v>109</v>
      </c>
      <c r="C26" s="235"/>
      <c r="D26" s="232"/>
      <c r="E26" s="232"/>
      <c r="F26" s="232"/>
      <c r="G26" s="232"/>
      <c r="H26" s="232"/>
      <c r="I26" s="214"/>
      <c r="J26" s="214"/>
      <c r="K26" s="228">
        <v>4</v>
      </c>
      <c r="L26" s="229">
        <v>4</v>
      </c>
      <c r="O26" s="5"/>
    </row>
    <row r="27" spans="1:18" s="170" customFormat="1">
      <c r="A27" s="296" t="s">
        <v>31</v>
      </c>
      <c r="B27" s="296"/>
      <c r="C27" s="296"/>
      <c r="D27" s="233"/>
      <c r="E27" s="233"/>
      <c r="F27" s="233"/>
      <c r="G27" s="233"/>
      <c r="H27" s="233"/>
      <c r="I27" s="233"/>
      <c r="J27" s="233"/>
      <c r="K27" s="230"/>
      <c r="L27" s="231">
        <f>SUM(L26:L26)</f>
        <v>4</v>
      </c>
      <c r="O27" s="5"/>
    </row>
    <row r="28" spans="1:18" s="31" customFormat="1" ht="17.25" thickBot="1">
      <c r="A28" s="19"/>
      <c r="B28" s="196"/>
      <c r="C28" s="19"/>
      <c r="D28" s="19"/>
      <c r="E28" s="19"/>
      <c r="F28" s="19"/>
      <c r="G28" s="19"/>
      <c r="H28" s="19"/>
      <c r="I28" s="19"/>
      <c r="J28" s="19"/>
      <c r="K28" s="19"/>
      <c r="L28" s="19"/>
      <c r="M28"/>
      <c r="N28"/>
      <c r="O28" s="5"/>
    </row>
    <row r="29" spans="1:18" s="31" customFormat="1" ht="16.5">
      <c r="A29" s="203" t="s">
        <v>32</v>
      </c>
      <c r="B29" s="204"/>
      <c r="C29" s="205">
        <f>+K20</f>
        <v>4</v>
      </c>
      <c r="D29" s="19"/>
      <c r="E29" s="19"/>
      <c r="F29" s="19"/>
      <c r="G29" s="19"/>
      <c r="H29" s="19"/>
      <c r="I29" s="19"/>
      <c r="J29" s="19"/>
      <c r="K29" s="19"/>
      <c r="L29" s="19"/>
      <c r="M29"/>
      <c r="N29"/>
      <c r="O29" s="5"/>
    </row>
    <row r="30" spans="1:18" s="31" customFormat="1" ht="16.5">
      <c r="A30" s="206" t="s">
        <v>33</v>
      </c>
      <c r="B30" s="207"/>
      <c r="C30" s="208">
        <v>1</v>
      </c>
      <c r="D30" s="32"/>
      <c r="E30" s="33"/>
      <c r="F30" s="33"/>
      <c r="G30" s="33"/>
      <c r="H30" s="19"/>
      <c r="I30" s="19"/>
      <c r="J30" s="19"/>
      <c r="K30" s="19"/>
      <c r="L30" s="19"/>
      <c r="M30"/>
      <c r="N30"/>
      <c r="O30" s="5"/>
      <c r="P30" s="19"/>
    </row>
    <row r="31" spans="1:18" s="31" customFormat="1" ht="16.5">
      <c r="A31" s="206" t="s">
        <v>34</v>
      </c>
      <c r="B31" s="207"/>
      <c r="C31" s="209"/>
      <c r="D31" s="32"/>
      <c r="E31" s="19"/>
      <c r="F31" s="19"/>
      <c r="G31" s="19"/>
      <c r="H31" s="19"/>
      <c r="I31" s="19"/>
      <c r="J31" s="19"/>
      <c r="K31" s="19"/>
      <c r="L31" s="19"/>
      <c r="M31"/>
      <c r="N31"/>
      <c r="O31" s="5"/>
      <c r="P31" s="19"/>
    </row>
    <row r="32" spans="1:18" s="31" customFormat="1" ht="16.5">
      <c r="A32" s="206" t="s">
        <v>35</v>
      </c>
      <c r="B32" s="207"/>
      <c r="C32" s="210">
        <f>+C29*0.125</f>
        <v>0.5</v>
      </c>
      <c r="D32" s="141"/>
      <c r="E32" s="19"/>
      <c r="F32" s="19"/>
      <c r="G32" s="19"/>
      <c r="H32" s="19"/>
      <c r="I32" s="19"/>
      <c r="J32" s="19"/>
      <c r="K32" s="19"/>
      <c r="L32" s="19"/>
      <c r="M32"/>
      <c r="N32"/>
      <c r="O32" s="5"/>
      <c r="P32" s="19"/>
      <c r="Q32" s="19"/>
      <c r="R32" s="19"/>
    </row>
    <row r="33" spans="1:19" s="31" customFormat="1" ht="17.25" thickBot="1">
      <c r="A33" s="211" t="s">
        <v>36</v>
      </c>
      <c r="B33" s="212"/>
      <c r="C33" s="213">
        <f>+C29*0.11</f>
        <v>0.44</v>
      </c>
      <c r="D33" s="141"/>
      <c r="E33" s="19"/>
      <c r="F33" s="19"/>
      <c r="G33" s="19"/>
      <c r="H33" s="19"/>
      <c r="I33" s="19"/>
      <c r="J33" s="19"/>
      <c r="K33" s="19"/>
      <c r="L33" s="19"/>
      <c r="M33"/>
      <c r="N33"/>
      <c r="O33" s="5"/>
      <c r="P33" s="19"/>
      <c r="Q33" s="19"/>
      <c r="R33" s="19"/>
      <c r="S33" s="19"/>
    </row>
    <row r="34" spans="1:19" ht="16.5">
      <c r="B34" s="197"/>
      <c r="H34" s="5"/>
      <c r="I34" s="5"/>
      <c r="M34"/>
      <c r="N34"/>
    </row>
    <row r="35" spans="1:19" ht="16.5">
      <c r="B35" s="197"/>
      <c r="H35" s="5"/>
      <c r="I35" s="5"/>
      <c r="M35"/>
      <c r="N35"/>
    </row>
    <row r="36" spans="1:19" ht="16.5">
      <c r="M36"/>
      <c r="N36"/>
    </row>
    <row r="37" spans="1:19" ht="16.5">
      <c r="M37"/>
      <c r="N37"/>
    </row>
    <row r="38" spans="1:19" ht="16.5">
      <c r="M38"/>
      <c r="N38"/>
    </row>
    <row r="39" spans="1:19" ht="16.5">
      <c r="M39"/>
      <c r="N39"/>
    </row>
    <row r="40" spans="1:19" ht="16.5">
      <c r="M40"/>
      <c r="N40"/>
    </row>
    <row r="41" spans="1:19" ht="16.5">
      <c r="M41"/>
      <c r="N41"/>
    </row>
    <row r="42" spans="1:19" ht="16.5">
      <c r="M42"/>
      <c r="N42"/>
    </row>
    <row r="43" spans="1:19" ht="16.5">
      <c r="M43"/>
      <c r="N43"/>
    </row>
    <row r="44" spans="1:19" ht="16.5">
      <c r="M44"/>
      <c r="N44"/>
    </row>
    <row r="45" spans="1:19" ht="16.5">
      <c r="M45"/>
      <c r="N45"/>
    </row>
    <row r="46" spans="1:19" ht="16.5">
      <c r="M46"/>
      <c r="N46"/>
    </row>
    <row r="47" spans="1:19" ht="16.5">
      <c r="M47"/>
      <c r="N47"/>
    </row>
    <row r="48" spans="1:19" ht="16.5">
      <c r="M48"/>
      <c r="N48"/>
    </row>
    <row r="49" spans="13:14" ht="16.5">
      <c r="M49"/>
      <c r="N49"/>
    </row>
    <row r="50" spans="13:14" ht="16.5">
      <c r="M50"/>
      <c r="N50"/>
    </row>
    <row r="51" spans="13:14" ht="16.5">
      <c r="M51"/>
      <c r="N51"/>
    </row>
    <row r="52" spans="13:14" ht="16.5">
      <c r="M52"/>
      <c r="N52"/>
    </row>
    <row r="53" spans="13:14" ht="16.5">
      <c r="M53"/>
      <c r="N53"/>
    </row>
    <row r="54" spans="13:14" ht="16.5">
      <c r="M54"/>
      <c r="N54"/>
    </row>
  </sheetData>
  <autoFilter ref="A18:O20"/>
  <mergeCells count="4">
    <mergeCell ref="A8:J8"/>
    <mergeCell ref="L23:L25"/>
    <mergeCell ref="A23:C25"/>
    <mergeCell ref="A27:C27"/>
  </mergeCells>
  <conditionalFormatting sqref="K20 J19">
    <cfRule type="cellIs" dxfId="5" priority="187" stopIfTrue="1" operator="equal">
      <formula>0</formula>
    </cfRule>
  </conditionalFormatting>
  <conditionalFormatting sqref="L20">
    <cfRule type="cellIs" dxfId="4" priority="185" stopIfTrue="1" operator="equal">
      <formula>0</formula>
    </cfRule>
  </conditionalFormatting>
  <conditionalFormatting sqref="A26">
    <cfRule type="duplicateValues" dxfId="3" priority="1"/>
  </conditionalFormatting>
  <printOptions horizontalCentered="1"/>
  <pageMargins left="0.25" right="0.25" top="0.25" bottom="0.25" header="0.3" footer="0.3"/>
  <pageSetup paperSize="9" scale="5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4"/>
  <sheetViews>
    <sheetView tabSelected="1" view="pageBreakPreview" zoomScaleNormal="55" zoomScaleSheetLayoutView="100" workbookViewId="0">
      <selection activeCell="K23" sqref="K23:L27"/>
    </sheetView>
  </sheetViews>
  <sheetFormatPr defaultRowHeight="15"/>
  <cols>
    <col min="1" max="1" width="18.25" style="131" customWidth="1"/>
    <col min="2" max="2" width="11" style="132" customWidth="1"/>
    <col min="3" max="3" width="10.875" style="131" customWidth="1"/>
    <col min="4" max="4" width="11.875" style="131" customWidth="1"/>
    <col min="5" max="5" width="15.75" style="131" customWidth="1"/>
    <col min="6" max="6" width="11.75" style="131" customWidth="1"/>
    <col min="7" max="7" width="14.625" style="131" customWidth="1"/>
    <col min="8" max="8" width="27.75" style="131" customWidth="1"/>
    <col min="9" max="9" width="29.5" style="131" customWidth="1"/>
    <col min="10" max="10" width="23.875" style="5" bestFit="1" customWidth="1"/>
    <col min="11" max="11" width="10.625" style="5" customWidth="1"/>
    <col min="12" max="12" width="8.125" style="5" customWidth="1"/>
    <col min="13" max="13" width="15.75" style="5" customWidth="1"/>
    <col min="14" max="14" width="13.375" style="5" customWidth="1"/>
    <col min="15" max="15" width="14.25" style="5" customWidth="1"/>
    <col min="16" max="17" width="9" style="5"/>
    <col min="18" max="20" width="9.5" style="5" bestFit="1" customWidth="1"/>
    <col min="21" max="21" width="16.125" style="5" bestFit="1" customWidth="1"/>
    <col min="22" max="22" width="9.125" style="5" bestFit="1" customWidth="1"/>
    <col min="23" max="16384" width="9" style="5"/>
  </cols>
  <sheetData>
    <row r="1" spans="1:15" ht="20.25">
      <c r="A1" s="142" t="s">
        <v>73</v>
      </c>
      <c r="B1" s="107"/>
      <c r="C1" s="108"/>
      <c r="D1" s="108"/>
      <c r="E1" s="109"/>
      <c r="F1" s="109"/>
      <c r="G1" s="109"/>
      <c r="H1" s="109"/>
      <c r="I1" s="110"/>
      <c r="J1" s="4"/>
      <c r="K1" s="3"/>
      <c r="L1" s="3"/>
      <c r="M1" s="3"/>
      <c r="N1" s="3"/>
      <c r="O1" s="3"/>
    </row>
    <row r="2" spans="1:15" ht="18">
      <c r="A2" s="143" t="s">
        <v>11</v>
      </c>
      <c r="B2" s="111"/>
      <c r="C2" s="112"/>
      <c r="D2" s="112"/>
      <c r="E2" s="113"/>
      <c r="F2" s="113"/>
      <c r="G2" s="113"/>
      <c r="H2" s="113"/>
      <c r="I2" s="114"/>
      <c r="J2" s="7"/>
      <c r="K2" s="6"/>
      <c r="L2" s="6"/>
      <c r="M2" s="6"/>
      <c r="N2" s="6"/>
      <c r="O2" s="6"/>
    </row>
    <row r="3" spans="1:15" ht="18">
      <c r="A3" s="224" t="s">
        <v>94</v>
      </c>
      <c r="B3" s="111"/>
      <c r="C3" s="112"/>
      <c r="D3" s="112"/>
      <c r="E3" s="113"/>
      <c r="F3" s="113"/>
      <c r="G3" s="113"/>
      <c r="H3" s="113"/>
      <c r="I3" s="114"/>
      <c r="J3" s="7"/>
      <c r="K3" s="6"/>
      <c r="L3" s="6"/>
      <c r="M3" s="6"/>
      <c r="N3" s="6"/>
      <c r="O3" s="6"/>
    </row>
    <row r="4" spans="1:15" ht="18">
      <c r="A4" s="224" t="s">
        <v>95</v>
      </c>
      <c r="B4" s="111"/>
      <c r="C4" s="112"/>
      <c r="D4" s="112"/>
      <c r="E4" s="113"/>
      <c r="F4" s="113"/>
      <c r="G4" s="113"/>
      <c r="H4" s="113"/>
      <c r="I4" s="114"/>
      <c r="J4" s="7"/>
      <c r="K4" s="6"/>
      <c r="L4" s="6"/>
      <c r="M4" s="6"/>
      <c r="N4" s="6"/>
      <c r="O4" s="6"/>
    </row>
    <row r="5" spans="1:15" ht="15.75" thickBot="1">
      <c r="A5" s="144" t="s">
        <v>91</v>
      </c>
      <c r="B5" s="115"/>
      <c r="C5" s="116"/>
      <c r="D5" s="116"/>
      <c r="E5" s="116"/>
      <c r="F5" s="116"/>
      <c r="G5" s="116"/>
      <c r="H5" s="116"/>
      <c r="I5" s="115"/>
      <c r="J5" s="4"/>
      <c r="K5" s="8"/>
      <c r="L5" s="8"/>
      <c r="M5" s="8"/>
      <c r="N5" s="8"/>
      <c r="O5" s="9"/>
    </row>
    <row r="6" spans="1:15" ht="16.5" customHeight="1">
      <c r="A6" s="144" t="s">
        <v>90</v>
      </c>
      <c r="B6" s="115"/>
      <c r="C6" s="116"/>
      <c r="D6" s="116"/>
      <c r="E6" s="116"/>
      <c r="F6" s="116"/>
      <c r="G6" s="116"/>
      <c r="H6" s="116"/>
      <c r="I6" s="115"/>
      <c r="J6" s="10"/>
      <c r="K6" s="11" t="s">
        <v>12</v>
      </c>
      <c r="L6" s="12"/>
      <c r="M6" s="12"/>
      <c r="N6" s="173" t="s">
        <v>104</v>
      </c>
      <c r="O6" s="68"/>
    </row>
    <row r="7" spans="1:15">
      <c r="A7" s="144"/>
      <c r="B7" s="115"/>
      <c r="C7" s="116"/>
      <c r="D7" s="116"/>
      <c r="E7" s="116"/>
      <c r="F7" s="116"/>
      <c r="G7" s="116"/>
      <c r="H7" s="116"/>
      <c r="I7" s="115"/>
      <c r="J7" s="13"/>
      <c r="K7" s="14" t="s">
        <v>13</v>
      </c>
      <c r="L7" s="15"/>
      <c r="M7" s="15"/>
      <c r="N7" s="32" t="s">
        <v>111</v>
      </c>
      <c r="O7" s="66"/>
    </row>
    <row r="8" spans="1:15" ht="26.25">
      <c r="A8" s="293" t="s">
        <v>8</v>
      </c>
      <c r="B8" s="293"/>
      <c r="C8" s="293"/>
      <c r="D8" s="293"/>
      <c r="E8" s="293"/>
      <c r="F8" s="293"/>
      <c r="G8" s="293"/>
      <c r="H8" s="293"/>
      <c r="I8" s="293"/>
      <c r="J8" s="294"/>
      <c r="K8" s="14" t="s">
        <v>14</v>
      </c>
      <c r="L8" s="15"/>
      <c r="M8" s="15"/>
      <c r="N8" s="32"/>
      <c r="O8" s="66"/>
    </row>
    <row r="9" spans="1:15" ht="15.75">
      <c r="A9" s="117"/>
      <c r="B9" s="118"/>
      <c r="C9" s="119"/>
      <c r="D9" s="119"/>
      <c r="E9" s="120"/>
      <c r="F9" s="120"/>
      <c r="G9" s="120"/>
      <c r="H9" s="120"/>
      <c r="I9" s="120"/>
      <c r="J9" s="16"/>
      <c r="K9" s="14" t="s">
        <v>15</v>
      </c>
      <c r="L9" s="15"/>
      <c r="M9" s="15"/>
      <c r="N9" s="174" t="str">
        <f>+N7</f>
        <v>SMS008/2026/HCINT-TENTREE</v>
      </c>
      <c r="O9" s="66"/>
    </row>
    <row r="10" spans="1:15" ht="15.75">
      <c r="A10" s="121" t="s">
        <v>74</v>
      </c>
      <c r="B10" s="122"/>
      <c r="C10" s="123"/>
      <c r="D10" s="123"/>
      <c r="E10" s="123"/>
      <c r="F10" s="123"/>
      <c r="G10" s="121" t="s">
        <v>2</v>
      </c>
      <c r="H10" s="124"/>
      <c r="I10" s="169"/>
      <c r="J10" s="19"/>
      <c r="K10" s="14" t="s">
        <v>16</v>
      </c>
      <c r="L10" s="15"/>
      <c r="M10" s="15"/>
      <c r="N10" s="69">
        <f>+'INV (HCIN)'!I3</f>
        <v>46253</v>
      </c>
      <c r="O10" s="66"/>
    </row>
    <row r="11" spans="1:15" ht="16.5" thickBot="1">
      <c r="A11" s="1" t="s">
        <v>96</v>
      </c>
      <c r="B11" s="105"/>
      <c r="C11" s="35"/>
      <c r="D11" s="35"/>
      <c r="E11" s="123"/>
      <c r="F11" s="123"/>
      <c r="G11" s="1" t="s">
        <v>40</v>
      </c>
      <c r="H11" s="1"/>
      <c r="I11" s="169"/>
      <c r="J11" s="2"/>
      <c r="K11" s="17" t="s">
        <v>17</v>
      </c>
      <c r="L11" s="18"/>
      <c r="M11" s="18"/>
      <c r="N11" s="70"/>
      <c r="O11" s="67"/>
    </row>
    <row r="12" spans="1:15" ht="15.75">
      <c r="A12" s="2" t="s">
        <v>97</v>
      </c>
      <c r="B12" s="106"/>
      <c r="C12" s="2"/>
      <c r="D12" s="35"/>
      <c r="E12" s="123"/>
      <c r="F12" s="123"/>
      <c r="G12" s="2" t="s">
        <v>66</v>
      </c>
      <c r="H12" s="2"/>
      <c r="I12" s="169"/>
      <c r="J12" s="2"/>
      <c r="K12" s="9"/>
      <c r="L12" s="19"/>
      <c r="M12" s="19"/>
      <c r="N12" s="9"/>
      <c r="O12" s="20"/>
    </row>
    <row r="13" spans="1:15" ht="15.75">
      <c r="A13" s="2" t="s">
        <v>98</v>
      </c>
      <c r="B13" s="106"/>
      <c r="C13" s="2"/>
      <c r="D13" s="35"/>
      <c r="E13" s="123"/>
      <c r="F13" s="123"/>
      <c r="G13" s="2" t="s">
        <v>72</v>
      </c>
      <c r="H13" s="2"/>
      <c r="I13" s="169"/>
      <c r="J13" s="2"/>
      <c r="K13" s="9"/>
      <c r="L13" s="19"/>
      <c r="M13" s="19"/>
      <c r="N13" s="9"/>
      <c r="O13" s="20"/>
    </row>
    <row r="14" spans="1:15" ht="15.75">
      <c r="A14" s="2" t="s">
        <v>99</v>
      </c>
      <c r="B14" s="106"/>
      <c r="C14" s="2"/>
      <c r="D14" s="35"/>
      <c r="E14" s="123"/>
      <c r="F14" s="123"/>
      <c r="G14" s="2" t="s">
        <v>3</v>
      </c>
      <c r="H14" s="2"/>
      <c r="I14" s="2"/>
      <c r="J14" s="2"/>
      <c r="K14" s="9"/>
      <c r="L14" s="19"/>
      <c r="M14" s="19"/>
      <c r="N14" s="9"/>
      <c r="O14" s="20"/>
    </row>
    <row r="15" spans="1:15" ht="15.75">
      <c r="A15" s="2" t="s">
        <v>100</v>
      </c>
      <c r="B15" s="140"/>
      <c r="C15" s="2"/>
      <c r="D15" s="35"/>
      <c r="E15" s="123"/>
      <c r="F15" s="123"/>
      <c r="G15" s="2" t="s">
        <v>18</v>
      </c>
      <c r="H15" s="2"/>
      <c r="I15" s="2"/>
      <c r="J15" s="2"/>
      <c r="K15" s="9"/>
      <c r="L15" s="19"/>
      <c r="M15" s="19"/>
      <c r="N15" s="9"/>
      <c r="O15" s="20"/>
    </row>
    <row r="16" spans="1:15">
      <c r="A16" s="2" t="s">
        <v>92</v>
      </c>
      <c r="B16" s="106"/>
      <c r="C16" s="2"/>
      <c r="D16" s="2"/>
      <c r="E16" s="123"/>
      <c r="F16" s="123"/>
      <c r="G16" s="2"/>
      <c r="H16" s="2"/>
      <c r="I16" s="2"/>
      <c r="J16" s="2"/>
      <c r="K16" s="9"/>
      <c r="L16" s="19"/>
      <c r="M16" s="19"/>
      <c r="N16" s="9"/>
      <c r="O16" s="20"/>
    </row>
    <row r="17" spans="1:18" s="9" customFormat="1">
      <c r="A17" s="125"/>
      <c r="B17" s="125"/>
      <c r="C17" s="126"/>
      <c r="D17" s="126"/>
      <c r="E17" s="126"/>
      <c r="F17" s="126"/>
      <c r="G17" s="126"/>
      <c r="H17" s="126"/>
      <c r="I17" s="126"/>
      <c r="J17" s="21"/>
      <c r="K17" s="22"/>
      <c r="L17" s="23"/>
      <c r="M17" s="23"/>
      <c r="N17" s="23"/>
      <c r="O17" s="23"/>
      <c r="P17" s="5"/>
      <c r="Q17" s="5"/>
    </row>
    <row r="18" spans="1:18" s="9" customFormat="1" ht="25.5">
      <c r="A18" s="127" t="s">
        <v>55</v>
      </c>
      <c r="B18" s="225" t="s">
        <v>75</v>
      </c>
      <c r="C18" s="198" t="s">
        <v>58</v>
      </c>
      <c r="D18" s="156" t="s">
        <v>57</v>
      </c>
      <c r="E18" s="156" t="s">
        <v>56</v>
      </c>
      <c r="F18" s="156" t="s">
        <v>80</v>
      </c>
      <c r="G18" s="198" t="s">
        <v>59</v>
      </c>
      <c r="H18" s="156" t="s">
        <v>20</v>
      </c>
      <c r="I18" s="198" t="s">
        <v>60</v>
      </c>
      <c r="J18" s="250" t="s">
        <v>21</v>
      </c>
      <c r="K18" s="24" t="s">
        <v>61</v>
      </c>
      <c r="L18" s="24" t="s">
        <v>62</v>
      </c>
      <c r="M18" s="24" t="s">
        <v>63</v>
      </c>
      <c r="N18" s="24" t="s">
        <v>64</v>
      </c>
      <c r="O18" s="71" t="s">
        <v>65</v>
      </c>
      <c r="P18" s="5"/>
      <c r="Q18" s="5"/>
    </row>
    <row r="19" spans="1:18" s="30" customFormat="1" ht="51">
      <c r="A19" s="29" t="s">
        <v>93</v>
      </c>
      <c r="B19" s="195" t="s">
        <v>103</v>
      </c>
      <c r="C19" s="128" t="s">
        <v>104</v>
      </c>
      <c r="D19" s="128" t="s">
        <v>105</v>
      </c>
      <c r="E19" s="202" t="s">
        <v>106</v>
      </c>
      <c r="F19" s="128" t="s">
        <v>9</v>
      </c>
      <c r="G19" s="128" t="s">
        <v>107</v>
      </c>
      <c r="H19" s="201" t="s">
        <v>108</v>
      </c>
      <c r="I19" s="201" t="s">
        <v>109</v>
      </c>
      <c r="J19" s="25" t="s">
        <v>110</v>
      </c>
      <c r="K19" s="34">
        <v>4</v>
      </c>
      <c r="L19" s="28" t="s">
        <v>6</v>
      </c>
      <c r="M19" s="72">
        <f>+K19*0.11</f>
        <v>0.44</v>
      </c>
      <c r="N19" s="148">
        <f>+K19*0.125</f>
        <v>0.5</v>
      </c>
      <c r="O19" s="26"/>
      <c r="P19" s="200"/>
      <c r="Q19" s="5"/>
    </row>
    <row r="20" spans="1:18" s="164" customFormat="1" ht="15.75">
      <c r="A20" s="226" t="s">
        <v>22</v>
      </c>
      <c r="B20" s="158"/>
      <c r="C20" s="226"/>
      <c r="D20" s="226"/>
      <c r="E20" s="226"/>
      <c r="F20" s="226"/>
      <c r="G20" s="226"/>
      <c r="H20" s="226"/>
      <c r="I20" s="226"/>
      <c r="J20" s="159"/>
      <c r="K20" s="160">
        <f>SUM(K19:K19)</f>
        <v>4</v>
      </c>
      <c r="L20" s="161"/>
      <c r="M20" s="162">
        <f>SUM(M19:M19)</f>
        <v>0.44</v>
      </c>
      <c r="N20" s="163">
        <f>SUM(N19:N19)</f>
        <v>0.5</v>
      </c>
      <c r="O20" s="159"/>
    </row>
    <row r="21" spans="1:18" ht="16.5">
      <c r="A21" s="129"/>
      <c r="B21" s="130"/>
      <c r="C21" s="129"/>
      <c r="D21" s="129"/>
      <c r="E21" s="129"/>
      <c r="F21" s="129"/>
      <c r="G21" s="129"/>
      <c r="H21" s="129"/>
      <c r="I21" s="129"/>
      <c r="J21" s="73"/>
      <c r="K21" s="73"/>
      <c r="L21" s="73"/>
      <c r="M21"/>
      <c r="N21"/>
      <c r="O21" s="27"/>
    </row>
    <row r="22" spans="1:18" ht="15.95" customHeight="1">
      <c r="A22" s="129"/>
      <c r="B22" s="130"/>
      <c r="C22" s="129"/>
      <c r="D22" s="129"/>
      <c r="E22" s="129"/>
      <c r="F22" s="129"/>
      <c r="G22" s="129"/>
      <c r="H22" s="129"/>
      <c r="I22" s="129"/>
      <c r="J22" s="73"/>
      <c r="K22" s="73"/>
      <c r="L22" s="73"/>
      <c r="M22"/>
      <c r="N22"/>
    </row>
    <row r="23" spans="1:18" s="170" customFormat="1">
      <c r="A23" s="295" t="s">
        <v>23</v>
      </c>
      <c r="B23" s="295"/>
      <c r="C23" s="295"/>
      <c r="D23" s="227" t="s">
        <v>24</v>
      </c>
      <c r="E23" s="227" t="s">
        <v>25</v>
      </c>
      <c r="F23" s="227" t="s">
        <v>71</v>
      </c>
      <c r="G23" s="227" t="s">
        <v>26</v>
      </c>
      <c r="H23" s="227" t="s">
        <v>27</v>
      </c>
      <c r="I23" s="227" t="s">
        <v>28</v>
      </c>
      <c r="J23" s="227" t="s">
        <v>29</v>
      </c>
      <c r="K23" s="227" t="s">
        <v>9</v>
      </c>
      <c r="L23" s="295" t="s">
        <v>22</v>
      </c>
      <c r="O23" s="5"/>
    </row>
    <row r="24" spans="1:18" s="170" customFormat="1">
      <c r="A24" s="295"/>
      <c r="B24" s="295"/>
      <c r="C24" s="295"/>
      <c r="D24" s="227">
        <v>24</v>
      </c>
      <c r="E24" s="227">
        <v>25</v>
      </c>
      <c r="F24" s="227">
        <v>26</v>
      </c>
      <c r="G24" s="227">
        <v>27</v>
      </c>
      <c r="H24" s="227">
        <v>29</v>
      </c>
      <c r="I24" s="227">
        <v>30</v>
      </c>
      <c r="J24" s="227">
        <v>32</v>
      </c>
      <c r="K24" s="227">
        <v>34</v>
      </c>
      <c r="L24" s="295"/>
      <c r="O24" s="5"/>
    </row>
    <row r="25" spans="1:18" s="170" customFormat="1">
      <c r="A25" s="295"/>
      <c r="B25" s="295"/>
      <c r="C25" s="295"/>
      <c r="D25" s="227">
        <v>30</v>
      </c>
      <c r="E25" s="227">
        <v>31</v>
      </c>
      <c r="F25" s="227">
        <v>32</v>
      </c>
      <c r="G25" s="227">
        <v>33</v>
      </c>
      <c r="H25" s="227">
        <v>36</v>
      </c>
      <c r="I25" s="227">
        <v>38</v>
      </c>
      <c r="J25" s="227">
        <v>40</v>
      </c>
      <c r="K25" s="227" t="s">
        <v>30</v>
      </c>
      <c r="L25" s="295"/>
      <c r="O25" s="5"/>
    </row>
    <row r="26" spans="1:18" s="170" customFormat="1" ht="15.75">
      <c r="A26" s="234" t="s">
        <v>106</v>
      </c>
      <c r="B26" s="234" t="s">
        <v>109</v>
      </c>
      <c r="C26" s="235"/>
      <c r="D26" s="232"/>
      <c r="E26" s="232"/>
      <c r="F26" s="232"/>
      <c r="G26" s="232"/>
      <c r="H26" s="232"/>
      <c r="I26" s="214"/>
      <c r="J26" s="214"/>
      <c r="K26" s="228">
        <v>4</v>
      </c>
      <c r="L26" s="229">
        <v>4</v>
      </c>
      <c r="O26" s="5"/>
    </row>
    <row r="27" spans="1:18" s="170" customFormat="1">
      <c r="A27" s="296" t="s">
        <v>31</v>
      </c>
      <c r="B27" s="296"/>
      <c r="C27" s="296"/>
      <c r="D27" s="233"/>
      <c r="E27" s="233"/>
      <c r="F27" s="233"/>
      <c r="G27" s="233"/>
      <c r="H27" s="233"/>
      <c r="I27" s="233"/>
      <c r="J27" s="233"/>
      <c r="K27" s="230"/>
      <c r="L27" s="231">
        <f>SUM(L26:L26)</f>
        <v>4</v>
      </c>
      <c r="O27" s="5"/>
    </row>
    <row r="28" spans="1:18" s="31" customFormat="1" ht="17.25" thickBot="1">
      <c r="A28" s="19"/>
      <c r="B28" s="196"/>
      <c r="C28" s="19"/>
      <c r="D28" s="19"/>
      <c r="E28" s="19"/>
      <c r="F28" s="19"/>
      <c r="G28" s="19"/>
      <c r="H28" s="19"/>
      <c r="I28" s="19"/>
      <c r="J28" s="19"/>
      <c r="K28" s="19"/>
      <c r="L28" s="19"/>
      <c r="M28"/>
      <c r="N28"/>
      <c r="O28" s="5"/>
    </row>
    <row r="29" spans="1:18" s="31" customFormat="1" ht="16.5">
      <c r="A29" s="203" t="s">
        <v>32</v>
      </c>
      <c r="B29" s="204"/>
      <c r="C29" s="205">
        <f>+K20</f>
        <v>4</v>
      </c>
      <c r="D29" s="19"/>
      <c r="E29" s="19"/>
      <c r="F29" s="19"/>
      <c r="G29" s="19"/>
      <c r="H29" s="19"/>
      <c r="I29" s="19"/>
      <c r="J29" s="19"/>
      <c r="K29" s="19"/>
      <c r="L29" s="19"/>
      <c r="M29"/>
      <c r="N29"/>
      <c r="O29" s="5"/>
    </row>
    <row r="30" spans="1:18" s="31" customFormat="1" ht="16.5">
      <c r="A30" s="206" t="s">
        <v>33</v>
      </c>
      <c r="B30" s="207"/>
      <c r="C30" s="208">
        <v>1</v>
      </c>
      <c r="D30" s="32"/>
      <c r="E30" s="33"/>
      <c r="F30" s="33"/>
      <c r="G30" s="33"/>
      <c r="H30" s="19"/>
      <c r="I30" s="19"/>
      <c r="J30" s="19"/>
      <c r="K30" s="19"/>
      <c r="L30" s="19"/>
      <c r="M30"/>
      <c r="N30"/>
      <c r="O30" s="5"/>
      <c r="P30" s="19"/>
    </row>
    <row r="31" spans="1:18" s="31" customFormat="1" ht="16.5">
      <c r="A31" s="206" t="s">
        <v>34</v>
      </c>
      <c r="B31" s="207"/>
      <c r="C31" s="209"/>
      <c r="D31" s="32"/>
      <c r="E31" s="19"/>
      <c r="F31" s="19"/>
      <c r="G31" s="19"/>
      <c r="H31" s="19"/>
      <c r="I31" s="19"/>
      <c r="J31" s="19"/>
      <c r="K31" s="19"/>
      <c r="L31" s="19"/>
      <c r="M31"/>
      <c r="N31"/>
      <c r="O31" s="5"/>
      <c r="P31" s="19"/>
    </row>
    <row r="32" spans="1:18" s="31" customFormat="1" ht="16.5">
      <c r="A32" s="206" t="s">
        <v>35</v>
      </c>
      <c r="B32" s="207"/>
      <c r="C32" s="210">
        <f>+C29*0.125</f>
        <v>0.5</v>
      </c>
      <c r="D32" s="141"/>
      <c r="E32" s="19"/>
      <c r="F32" s="19"/>
      <c r="G32" s="19"/>
      <c r="H32" s="19"/>
      <c r="I32" s="19"/>
      <c r="J32" s="19"/>
      <c r="K32" s="19"/>
      <c r="L32" s="19"/>
      <c r="M32"/>
      <c r="N32"/>
      <c r="O32" s="5"/>
      <c r="P32" s="19"/>
      <c r="Q32" s="19"/>
      <c r="R32" s="19"/>
    </row>
    <row r="33" spans="1:19" s="31" customFormat="1" ht="17.25" thickBot="1">
      <c r="A33" s="211" t="s">
        <v>36</v>
      </c>
      <c r="B33" s="212"/>
      <c r="C33" s="213">
        <f>+C29*0.11</f>
        <v>0.44</v>
      </c>
      <c r="D33" s="141"/>
      <c r="E33" s="19"/>
      <c r="F33" s="19"/>
      <c r="G33" s="19"/>
      <c r="H33" s="19"/>
      <c r="I33" s="19"/>
      <c r="J33" s="19"/>
      <c r="K33" s="19"/>
      <c r="L33" s="19"/>
      <c r="M33"/>
      <c r="N33"/>
      <c r="O33" s="5"/>
      <c r="P33" s="19"/>
      <c r="Q33" s="19"/>
      <c r="R33" s="19"/>
      <c r="S33" s="19"/>
    </row>
    <row r="34" spans="1:19" ht="16.5">
      <c r="B34" s="197"/>
      <c r="H34" s="5"/>
      <c r="I34" s="5"/>
      <c r="M34"/>
      <c r="N34"/>
    </row>
    <row r="35" spans="1:19" ht="16.5">
      <c r="B35" s="197"/>
      <c r="H35" s="5"/>
      <c r="I35" s="5"/>
      <c r="M35"/>
      <c r="N35"/>
    </row>
    <row r="36" spans="1:19" ht="16.5">
      <c r="M36"/>
      <c r="N36"/>
    </row>
    <row r="37" spans="1:19" ht="16.5">
      <c r="M37"/>
      <c r="N37"/>
    </row>
    <row r="38" spans="1:19" ht="16.5">
      <c r="M38"/>
      <c r="N38"/>
    </row>
    <row r="39" spans="1:19" ht="16.5">
      <c r="M39"/>
      <c r="N39"/>
    </row>
    <row r="40" spans="1:19" ht="16.5">
      <c r="M40"/>
      <c r="N40"/>
    </row>
    <row r="41" spans="1:19" ht="16.5">
      <c r="M41"/>
      <c r="N41"/>
    </row>
    <row r="42" spans="1:19" ht="16.5">
      <c r="M42"/>
      <c r="N42"/>
    </row>
    <row r="43" spans="1:19" ht="16.5">
      <c r="M43"/>
      <c r="N43"/>
    </row>
    <row r="44" spans="1:19" ht="16.5">
      <c r="M44"/>
      <c r="N44"/>
    </row>
    <row r="45" spans="1:19" ht="16.5">
      <c r="M45"/>
      <c r="N45"/>
    </row>
    <row r="46" spans="1:19" ht="16.5">
      <c r="M46"/>
      <c r="N46"/>
    </row>
    <row r="47" spans="1:19" ht="16.5">
      <c r="M47"/>
      <c r="N47"/>
    </row>
    <row r="48" spans="1:19" ht="16.5">
      <c r="M48"/>
      <c r="N48"/>
    </row>
    <row r="49" spans="13:14" ht="16.5">
      <c r="M49"/>
      <c r="N49"/>
    </row>
    <row r="50" spans="13:14" ht="16.5">
      <c r="M50"/>
      <c r="N50"/>
    </row>
    <row r="51" spans="13:14" ht="16.5">
      <c r="M51"/>
      <c r="N51"/>
    </row>
    <row r="52" spans="13:14" ht="16.5">
      <c r="M52"/>
      <c r="N52"/>
    </row>
    <row r="53" spans="13:14" ht="16.5">
      <c r="M53"/>
      <c r="N53"/>
    </row>
    <row r="54" spans="13:14" ht="16.5">
      <c r="M54"/>
      <c r="N54"/>
    </row>
  </sheetData>
  <autoFilter ref="A18:O20"/>
  <mergeCells count="4">
    <mergeCell ref="A8:J8"/>
    <mergeCell ref="A23:C25"/>
    <mergeCell ref="L23:L25"/>
    <mergeCell ref="A27:C27"/>
  </mergeCells>
  <conditionalFormatting sqref="K20 J19">
    <cfRule type="cellIs" dxfId="2" priority="3" stopIfTrue="1" operator="equal">
      <formula>0</formula>
    </cfRule>
  </conditionalFormatting>
  <conditionalFormatting sqref="L20">
    <cfRule type="cellIs" dxfId="1" priority="2" stopIfTrue="1" operator="equal">
      <formula>0</formula>
    </cfRule>
  </conditionalFormatting>
  <conditionalFormatting sqref="A26">
    <cfRule type="duplicateValues" dxfId="0" priority="1"/>
  </conditionalFormatting>
  <printOptions horizontalCentered="1"/>
  <pageMargins left="0.25" right="0.25" top="0.25" bottom="0.25" header="0.3" footer="0.3"/>
  <pageSetup paperSize="9" scale="5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28"/>
  <sheetViews>
    <sheetView view="pageBreakPreview" zoomScaleNormal="85" zoomScaleSheetLayoutView="100" workbookViewId="0">
      <selection activeCell="L15" sqref="L15"/>
    </sheetView>
  </sheetViews>
  <sheetFormatPr defaultRowHeight="15.75"/>
  <cols>
    <col min="1" max="16384" width="9" style="145"/>
  </cols>
  <sheetData>
    <row r="25" ht="15.75" customHeight="1"/>
    <row r="28" ht="15.75" customHeight="1"/>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INV (HCIN)</vt:lpstr>
      <vt:lpstr>INV (HCVN)</vt:lpstr>
      <vt:lpstr>PL (HCIN)</vt:lpstr>
      <vt:lpstr>PL (HCVN)</vt:lpstr>
      <vt:lpstr>BILL</vt:lpstr>
      <vt:lpstr>'INV (HCIN)'!Print_Area</vt:lpstr>
      <vt:lpstr>'INV (HCVN)'!Print_Area</vt:lpstr>
      <vt:lpstr>'PL (HCIN)'!Print_Area</vt:lpstr>
      <vt:lpstr>'PL (HCVN)'!Print_Area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2026-08-18T01:25:10Z</cp:lastPrinted>
  <dcterms:created xsi:type="dcterms:W3CDTF">2017-04-21T09:59:10Z</dcterms:created>
  <dcterms:modified xsi:type="dcterms:W3CDTF">2026-08-19T02:48:17Z</dcterms:modified>
</cp:coreProperties>
</file>