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\BSI260858 10T-VAN 0826 SEA\"/>
    </mc:Choice>
  </mc:AlternateContent>
  <bookViews>
    <workbookView windowWidth="27945" windowHeight="12060"/>
  </bookViews>
  <sheets>
    <sheet name="PACKING LIST" sheetId="4" r:id="rId1"/>
  </sheets>
  <definedNames>
    <definedName name="_xlnm._FilterDatabase" localSheetId="0" hidden="1">'PACKING LIST'!#REF!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<sst xmlns="http://schemas.openxmlformats.org/spreadsheetml/2006/main" count="106" uniqueCount="68">
  <si>
    <t>BEST STAR FASHIONS CO., LIMITED</t>
  </si>
  <si>
    <t>ROOM 1305, BUILDING 4, AIJIA INTERNATIONAL MANSION, NO. 288, WUHUA ROAD, SHANGHAI, CHINA</t>
  </si>
  <si>
    <t>PACKING LIST</t>
  </si>
  <si>
    <t>Consignee</t>
  </si>
  <si>
    <t>Notify Party</t>
  </si>
  <si>
    <t xml:space="preserve">PO # </t>
  </si>
  <si>
    <t>JETSON</t>
  </si>
  <si>
    <t>tentree International Inc.</t>
  </si>
  <si>
    <t>Invoice NO.</t>
  </si>
  <si>
    <t>BSI260858</t>
  </si>
  <si>
    <t>197    FORESTER    STREET</t>
  </si>
  <si>
    <t>230 – 1275 Venables St.</t>
  </si>
  <si>
    <t>S/C  NO.</t>
  </si>
  <si>
    <t>#04825</t>
  </si>
  <si>
    <t>SUITE    204</t>
  </si>
  <si>
    <t>Vancouver, BC, V6A 2E4</t>
  </si>
  <si>
    <t>NORTH   VANCOUVER    BC   V7H0A6</t>
  </si>
  <si>
    <t>Canada</t>
  </si>
  <si>
    <t>Packinglist No.</t>
  </si>
  <si>
    <t>CANADA</t>
  </si>
  <si>
    <t>604-829-2706</t>
  </si>
  <si>
    <t>DATE:</t>
  </si>
  <si>
    <t>26th August 2026</t>
  </si>
  <si>
    <t>PAGE:</t>
  </si>
  <si>
    <t>CTN #</t>
  </si>
  <si>
    <t xml:space="preserve">TOTAL/CTN </t>
  </si>
  <si>
    <t>PO #</t>
  </si>
  <si>
    <t>SKU</t>
  </si>
  <si>
    <t>UPC</t>
  </si>
  <si>
    <t>Style Description</t>
  </si>
  <si>
    <t>Color Description</t>
  </si>
  <si>
    <t>PCS/CTN</t>
  </si>
  <si>
    <t>TOTAL/PCS</t>
  </si>
  <si>
    <t xml:space="preserve">  N/W</t>
  </si>
  <si>
    <t xml:space="preserve">  G/W</t>
  </si>
  <si>
    <t>MEASURE</t>
  </si>
  <si>
    <t>1-8</t>
  </si>
  <si>
    <t>04825</t>
  </si>
  <si>
    <t>TCM7123-5591-S</t>
  </si>
  <si>
    <t>661814908144</t>
  </si>
  <si>
    <t>M Jetson Colville Shacket</t>
  </si>
  <si>
    <t>Forest Pine Heather</t>
  </si>
  <si>
    <t>52*32*20</t>
  </si>
  <si>
    <t>9-26</t>
  </si>
  <si>
    <t>TCM7123-5591-M</t>
  </si>
  <si>
    <t>661814908151</t>
  </si>
  <si>
    <t>27-62</t>
  </si>
  <si>
    <t>TCM7123-5591-L</t>
  </si>
  <si>
    <t>661814908168</t>
  </si>
  <si>
    <t>63-72</t>
  </si>
  <si>
    <t>TCM7123-5591-XL</t>
  </si>
  <si>
    <t>661814908137</t>
  </si>
  <si>
    <t>73-75</t>
  </si>
  <si>
    <t>TCM7123-5591-XXL</t>
  </si>
  <si>
    <t>661814908120</t>
  </si>
  <si>
    <t>77 (Mix)</t>
  </si>
  <si>
    <t>Total</t>
  </si>
  <si>
    <t>by sea</t>
  </si>
  <si>
    <t>No of Units</t>
  </si>
  <si>
    <t>1000</t>
  </si>
  <si>
    <t>No of cartons</t>
  </si>
  <si>
    <t>77 ctns</t>
  </si>
  <si>
    <t>CBM</t>
  </si>
  <si>
    <t>4.10</t>
  </si>
  <si>
    <t>Gross Weight</t>
  </si>
  <si>
    <t>693</t>
  </si>
  <si>
    <t xml:space="preserve">Net Weight </t>
  </si>
  <si>
    <t>616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</si>
</sst>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&quot;KGS&quot;"/>
  </numFmts>
  <fonts count="42">
    <font>
      <sz val="12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sz val="14"/>
      <name val="宋体"/>
      <charset val="134"/>
    </font>
    <font>
      <b/>
      <sz val="10"/>
      <name val="等线"/>
      <charset val="134"/>
      <scheme val="minor"/>
    </font>
    <font>
      <b/>
      <sz val="16"/>
      <name val="宋体"/>
      <charset val="134"/>
    </font>
    <font>
      <sz val="10"/>
      <name val="等线"/>
      <charset val="134"/>
      <scheme val="minor"/>
    </font>
    <font>
      <sz val="14"/>
      <name val="Times New Roman"/>
      <charset val="134"/>
    </font>
    <font>
      <b/>
      <u/>
      <sz val="12"/>
      <name val="等线"/>
      <charset val="134"/>
      <scheme val="minor"/>
    </font>
    <font>
      <b/>
      <sz val="10"/>
      <name val="Times New Roman"/>
      <charset val="134"/>
    </font>
    <font>
      <b/>
      <u/>
      <sz val="10"/>
      <name val="等线"/>
      <charset val="134"/>
      <scheme val="minor"/>
    </font>
    <font>
      <b/>
      <u/>
      <sz val="12"/>
      <name val="Times New Roman"/>
      <charset val="134"/>
    </font>
    <font>
      <b/>
      <u/>
      <sz val="11"/>
      <name val="宋体"/>
      <charset val="134"/>
    </font>
    <font>
      <sz val="10"/>
      <name val="微软雅黑"/>
      <charset val="134"/>
    </font>
    <font>
      <sz val="10"/>
      <name val="Gotham HTF"/>
      <charset val="134"/>
    </font>
    <font>
      <sz val="10"/>
      <color theme="1"/>
      <name val="Arial"/>
      <charset val="0"/>
    </font>
    <font>
      <sz val="10"/>
      <name val="Times New Roman"/>
      <charset val="0"/>
    </font>
    <font>
      <sz val="10"/>
      <color theme="1"/>
      <name val="Arial"/>
      <charset val="0"/>
    </font>
    <font>
      <b/>
      <sz val="10"/>
      <name val="Arial"/>
      <charset val="134"/>
    </font>
    <font>
      <b/>
      <sz val="12"/>
      <name val="微软雅黑"/>
      <charset val="134"/>
    </font>
    <font>
      <sz val="10"/>
      <name val="Arial"/>
      <charset val="0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Verdana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5" borderId="1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6" borderId="19" applyNumberFormat="0" applyAlignment="0" applyProtection="0">
      <alignment vertical="center"/>
    </xf>
    <xf numFmtId="0" fontId="31" fillId="7" borderId="20" applyNumberFormat="0" applyAlignment="0" applyProtection="0">
      <alignment vertical="center"/>
    </xf>
    <xf numFmtId="0" fontId="32" fillId="7" borderId="19" applyNumberFormat="0" applyAlignment="0" applyProtection="0">
      <alignment vertical="center"/>
    </xf>
    <xf numFmtId="0" fontId="33" fillId="8" borderId="21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1" fillId="0" borderId="0"/>
  </cellStyleXfs>
  <cellXfs count="110">
    <xf numFmtId="0" fontId="0" fillId="0" borderId="0" xfId="0"/>
    <xf numFmtId="0" fontId="0" fillId="0" borderId="0" xfId="0" applyFill="1" applyProtection="1">
      <protection locked="0"/>
    </xf>
    <xf numFmtId="0" fontId="1" fillId="0" borderId="0" xfId="0" applyFont="1" applyFill="1" applyProtection="1">
      <protection locked="0"/>
    </xf>
    <xf numFmtId="0" fontId="0" fillId="0" borderId="0" xfId="0" applyFill="1" applyAlignment="1">
      <alignment horizontal="center"/>
    </xf>
    <xf numFmtId="49" fontId="2" fillId="0" borderId="0" xfId="0" applyNumberFormat="1" applyFont="1" applyFill="1"/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 applyProtection="1">
      <alignment horizontal="center"/>
      <protection locked="0"/>
    </xf>
    <xf numFmtId="49" fontId="2" fillId="0" borderId="0" xfId="0" applyNumberFormat="1" applyFont="1" applyFill="1" applyAlignment="1" applyProtection="1">
      <alignment horizont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center" vertical="center" wrapText="1"/>
      <protection locked="0"/>
    </xf>
    <xf numFmtId="0" fontId="4" fillId="0" borderId="0" xfId="0" applyFont="1" applyFill="1" applyAlignment="1" applyProtection="1">
      <alignment vertical="center"/>
      <protection locked="0"/>
    </xf>
    <xf numFmtId="0" fontId="5" fillId="0" borderId="0" xfId="0" applyFont="1" applyFill="1" applyAlignment="1" applyProtection="1">
      <alignment vertical="center"/>
      <protection locked="0"/>
    </xf>
    <xf numFmtId="0" fontId="6" fillId="0" borderId="0" xfId="0" applyFont="1" applyFill="1" applyAlignment="1" applyProtection="1">
      <alignment vertical="center"/>
      <protection locked="0"/>
    </xf>
    <xf numFmtId="0" fontId="7" fillId="0" borderId="0" xfId="0" applyFont="1" applyFill="1" applyAlignment="1" applyProtection="1">
      <alignment vertical="center"/>
      <protection locked="0"/>
    </xf>
    <xf numFmtId="0" fontId="8" fillId="0" borderId="0" xfId="0" applyFont="1" applyFill="1" applyAlignment="1" applyProtection="1">
      <alignment horizontal="center" vertical="center"/>
      <protection locked="0"/>
    </xf>
    <xf numFmtId="0" fontId="9" fillId="0" borderId="0" xfId="0" applyFont="1" applyFill="1" applyAlignment="1" applyProtection="1">
      <alignment vertical="center"/>
      <protection locked="0"/>
    </xf>
    <xf numFmtId="0" fontId="6" fillId="0" borderId="0" xfId="0" applyFont="1" applyFill="1" applyAlignment="1" applyProtection="1">
      <alignment horizontal="center"/>
      <protection locked="0"/>
    </xf>
    <xf numFmtId="49" fontId="10" fillId="0" borderId="0" xfId="0" applyNumberFormat="1" applyFont="1" applyFill="1" applyAlignment="1" applyProtection="1">
      <alignment vertical="center"/>
      <protection locked="0"/>
    </xf>
    <xf numFmtId="0" fontId="10" fillId="0" borderId="0" xfId="0" applyFont="1" applyFill="1" applyAlignment="1" applyProtection="1">
      <alignment horizontal="center" vertical="center"/>
      <protection locked="0"/>
    </xf>
    <xf numFmtId="0" fontId="10" fillId="0" borderId="0" xfId="0" applyFont="1" applyFill="1" applyAlignment="1" applyProtection="1">
      <alignment horizontal="center" vertical="center" wrapText="1"/>
      <protection locked="0"/>
    </xf>
    <xf numFmtId="0" fontId="4" fillId="0" borderId="0" xfId="0" applyFont="1" applyFill="1" applyBorder="1" applyAlignment="1" applyProtection="1">
      <alignment horizontal="right" vertical="center"/>
    </xf>
    <xf numFmtId="0" fontId="6" fillId="0" borderId="0" xfId="0" applyFont="1" applyFill="1" applyBorder="1" applyProtection="1">
      <protection locked="0"/>
    </xf>
    <xf numFmtId="0" fontId="10" fillId="0" borderId="0" xfId="0" applyFont="1" applyFill="1" applyAlignment="1" applyProtection="1">
      <alignment vertical="center"/>
      <protection locked="0"/>
    </xf>
    <xf numFmtId="0" fontId="11" fillId="0" borderId="0" xfId="0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/>
      <protection locked="0"/>
    </xf>
    <xf numFmtId="49" fontId="6" fillId="0" borderId="0" xfId="0" applyNumberFormat="1" applyFont="1" applyFill="1" applyProtection="1"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right" vertical="center"/>
    </xf>
    <xf numFmtId="0" fontId="6" fillId="0" borderId="2" xfId="0" applyFont="1" applyFill="1" applyBorder="1" applyProtection="1">
      <protection locked="0"/>
    </xf>
    <xf numFmtId="0" fontId="4" fillId="0" borderId="3" xfId="0" applyFont="1" applyFill="1" applyBorder="1" applyAlignment="1" applyProtection="1">
      <alignment horizontal="right" vertical="center"/>
    </xf>
    <xf numFmtId="0" fontId="6" fillId="0" borderId="4" xfId="0" applyFont="1" applyFill="1" applyBorder="1" applyProtection="1">
      <protection locked="0"/>
    </xf>
    <xf numFmtId="14" fontId="10" fillId="0" borderId="0" xfId="0" applyNumberFormat="1" applyFont="1" applyFill="1" applyAlignment="1" applyProtection="1">
      <alignment vertical="center"/>
      <protection locked="0"/>
    </xf>
    <xf numFmtId="0" fontId="12" fillId="0" borderId="0" xfId="0" applyFont="1" applyFill="1" applyAlignment="1" applyProtection="1">
      <alignment vertical="center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wrapText="1"/>
      <protection locked="0"/>
    </xf>
    <xf numFmtId="0" fontId="13" fillId="0" borderId="0" xfId="0" applyFont="1" applyAlignment="1" applyProtection="1">
      <alignment horizontal="center"/>
      <protection locked="0"/>
    </xf>
    <xf numFmtId="0" fontId="14" fillId="0" borderId="0" xfId="49" applyFont="1" applyFill="1" applyAlignment="1">
      <alignment horizontal="center"/>
    </xf>
    <xf numFmtId="0" fontId="4" fillId="0" borderId="5" xfId="0" applyFont="1" applyFill="1" applyBorder="1" applyAlignment="1" applyProtection="1">
      <alignment horizontal="right" vertical="center"/>
    </xf>
    <xf numFmtId="0" fontId="6" fillId="2" borderId="6" xfId="0" applyFont="1" applyFill="1" applyBorder="1" applyProtection="1">
      <protection locked="0"/>
    </xf>
    <xf numFmtId="0" fontId="6" fillId="0" borderId="7" xfId="0" applyFont="1" applyFill="1" applyBorder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6" fillId="0" borderId="6" xfId="0" applyFont="1" applyFill="1" applyBorder="1" applyProtection="1">
      <protection locked="0"/>
    </xf>
    <xf numFmtId="0" fontId="2" fillId="0" borderId="0" xfId="0" applyFont="1" applyAlignme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0" xfId="6" applyFont="1" applyAlignme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0" borderId="8" xfId="0" applyFont="1" applyFill="1" applyBorder="1" applyAlignment="1" applyProtection="1">
      <alignment horizontal="right" vertical="center"/>
    </xf>
    <xf numFmtId="0" fontId="6" fillId="0" borderId="9" xfId="0" applyFont="1" applyFill="1" applyBorder="1" applyProtection="1">
      <protection locked="0"/>
    </xf>
    <xf numFmtId="0" fontId="4" fillId="0" borderId="10" xfId="0" applyFont="1" applyFill="1" applyBorder="1" applyAlignment="1" applyProtection="1">
      <alignment horizontal="right" vertical="center"/>
    </xf>
    <xf numFmtId="0" fontId="6" fillId="0" borderId="11" xfId="0" applyFont="1" applyFill="1" applyBorder="1" applyProtection="1">
      <protection locked="0"/>
    </xf>
    <xf numFmtId="0" fontId="4" fillId="0" borderId="0" xfId="0" applyFont="1" applyFill="1" applyAlignment="1" applyProtection="1">
      <alignment horizontal="right" vertical="center"/>
    </xf>
    <xf numFmtId="0" fontId="6" fillId="0" borderId="0" xfId="0" applyFont="1" applyFill="1" applyProtection="1">
      <protection locked="0"/>
    </xf>
    <xf numFmtId="0" fontId="12" fillId="0" borderId="0" xfId="0" applyFont="1" applyFill="1" applyAlignment="1" applyProtection="1">
      <alignment horizontal="center" vertical="center"/>
      <protection locked="0"/>
    </xf>
    <xf numFmtId="0" fontId="4" fillId="0" borderId="12" xfId="0" applyFont="1" applyFill="1" applyBorder="1" applyAlignment="1" applyProtection="1">
      <alignment horizontal="center"/>
    </xf>
    <xf numFmtId="49" fontId="4" fillId="0" borderId="13" xfId="0" applyNumberFormat="1" applyFont="1" applyFill="1" applyBorder="1" applyAlignment="1" applyProtection="1">
      <alignment horizontal="center"/>
    </xf>
    <xf numFmtId="0" fontId="4" fillId="0" borderId="12" xfId="0" applyFont="1" applyFill="1" applyBorder="1" applyAlignment="1" applyProtection="1">
      <alignment horizontal="center" vertical="center"/>
    </xf>
    <xf numFmtId="0" fontId="4" fillId="0" borderId="13" xfId="0" applyFont="1" applyFill="1" applyBorder="1" applyAlignment="1" applyProtection="1">
      <alignment horizontal="center" vertical="center"/>
    </xf>
    <xf numFmtId="0" fontId="4" fillId="0" borderId="13" xfId="0" applyFont="1" applyFill="1" applyBorder="1" applyAlignment="1" applyProtection="1">
      <alignment horizontal="center" vertical="center" wrapText="1"/>
    </xf>
    <xf numFmtId="0" fontId="6" fillId="0" borderId="12" xfId="0" applyFont="1" applyFill="1" applyBorder="1" applyAlignment="1" applyProtection="1">
      <alignment horizontal="center" vertical="center"/>
    </xf>
    <xf numFmtId="0" fontId="4" fillId="0" borderId="12" xfId="0" applyFont="1" applyFill="1" applyBorder="1" applyAlignment="1" applyProtection="1">
      <alignment vertical="center"/>
    </xf>
    <xf numFmtId="0" fontId="2" fillId="0" borderId="0" xfId="0" applyFont="1" applyFill="1" applyProtection="1">
      <protection locked="0"/>
    </xf>
    <xf numFmtId="49" fontId="15" fillId="0" borderId="12" xfId="0" applyNumberFormat="1" applyFont="1" applyFill="1" applyBorder="1" applyAlignment="1">
      <alignment horizontal="center" vertical="center"/>
    </xf>
    <xf numFmtId="49" fontId="16" fillId="0" borderId="12" xfId="0" applyNumberFormat="1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 vertical="center"/>
    </xf>
    <xf numFmtId="0" fontId="1" fillId="0" borderId="12" xfId="0" applyFont="1" applyFill="1" applyBorder="1" applyAlignment="1" applyProtection="1">
      <alignment horizontal="center" vertical="center"/>
      <protection locked="0"/>
    </xf>
    <xf numFmtId="176" fontId="1" fillId="0" borderId="12" xfId="0" applyNumberFormat="1" applyFont="1" applyFill="1" applyBorder="1" applyAlignment="1" applyProtection="1">
      <alignment horizontal="center"/>
      <protection locked="0"/>
    </xf>
    <xf numFmtId="0" fontId="1" fillId="0" borderId="12" xfId="0" applyFont="1" applyFill="1" applyBorder="1" applyAlignment="1" applyProtection="1">
      <alignment horizontal="center"/>
      <protection locked="0"/>
    </xf>
    <xf numFmtId="0" fontId="1" fillId="0" borderId="0" xfId="0" applyFont="1" applyFill="1"/>
    <xf numFmtId="49" fontId="17" fillId="0" borderId="12" xfId="0" applyNumberFormat="1" applyFont="1" applyFill="1" applyBorder="1" applyAlignment="1">
      <alignment horizontal="center" vertical="center"/>
    </xf>
    <xf numFmtId="49" fontId="17" fillId="0" borderId="14" xfId="0" applyNumberFormat="1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 wrapText="1"/>
    </xf>
    <xf numFmtId="49" fontId="1" fillId="0" borderId="15" xfId="0" applyNumberFormat="1" applyFont="1" applyFill="1" applyBorder="1" applyAlignment="1" applyProtection="1">
      <alignment horizontal="center"/>
      <protection locked="0"/>
    </xf>
    <xf numFmtId="49" fontId="1" fillId="0" borderId="12" xfId="0" applyNumberFormat="1" applyFont="1" applyFill="1" applyBorder="1" applyAlignment="1" applyProtection="1">
      <alignment horizontal="center"/>
      <protection locked="0"/>
    </xf>
    <xf numFmtId="49" fontId="1" fillId="0" borderId="12" xfId="0" applyNumberFormat="1" applyFont="1" applyFill="1" applyBorder="1" applyProtection="1">
      <protection locked="0"/>
    </xf>
    <xf numFmtId="0" fontId="18" fillId="0" borderId="12" xfId="0" applyFont="1" applyFill="1" applyBorder="1" applyAlignment="1" applyProtection="1">
      <alignment horizontal="center"/>
      <protection locked="0"/>
    </xf>
    <xf numFmtId="0" fontId="1" fillId="0" borderId="12" xfId="0" applyFont="1" applyFill="1" applyBorder="1" applyAlignment="1" applyProtection="1">
      <alignment horizontal="center" vertical="center" wrapText="1"/>
      <protection locked="0"/>
    </xf>
    <xf numFmtId="49" fontId="19" fillId="0" borderId="12" xfId="0" applyNumberFormat="1" applyFont="1" applyFill="1" applyBorder="1" applyAlignment="1" applyProtection="1">
      <alignment horizontal="center" vertical="center"/>
      <protection locked="0"/>
    </xf>
    <xf numFmtId="0" fontId="1" fillId="0" borderId="12" xfId="0" applyFont="1" applyFill="1" applyBorder="1" applyAlignment="1">
      <alignment horizontal="center"/>
    </xf>
    <xf numFmtId="0" fontId="1" fillId="0" borderId="12" xfId="0" applyFont="1" applyFill="1" applyBorder="1" applyAlignment="1" applyProtection="1">
      <alignment horizontal="center" wrapText="1"/>
      <protection locked="0"/>
    </xf>
    <xf numFmtId="0" fontId="1" fillId="3" borderId="0" xfId="0" applyFont="1" applyFill="1" applyAlignment="1" applyProtection="1">
      <alignment horizontal="center"/>
      <protection locked="0"/>
    </xf>
    <xf numFmtId="49" fontId="1" fillId="3" borderId="0" xfId="0" applyNumberFormat="1" applyFont="1" applyFill="1" applyProtection="1">
      <protection locked="0"/>
    </xf>
    <xf numFmtId="0" fontId="1" fillId="3" borderId="0" xfId="0" applyFont="1" applyFill="1" applyAlignment="1" applyProtection="1">
      <alignment horizontal="center" wrapText="1"/>
      <protection locked="0"/>
    </xf>
    <xf numFmtId="0" fontId="20" fillId="4" borderId="0" xfId="0" applyFont="1" applyFill="1" applyBorder="1" applyAlignment="1" applyProtection="1">
      <alignment horizontal="center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1" fillId="3" borderId="0" xfId="0" applyFont="1" applyFill="1"/>
    <xf numFmtId="49" fontId="20" fillId="4" borderId="0" xfId="0" applyNumberFormat="1" applyFont="1" applyFill="1" applyBorder="1" applyAlignment="1" applyProtection="1">
      <protection locked="0"/>
    </xf>
    <xf numFmtId="0" fontId="20" fillId="4" borderId="0" xfId="0" applyFont="1" applyFill="1" applyBorder="1" applyAlignment="1" applyProtection="1">
      <alignment horizontal="center" wrapText="1"/>
      <protection locked="0"/>
    </xf>
    <xf numFmtId="0" fontId="20" fillId="4" borderId="0" xfId="0" applyFont="1" applyFill="1" applyBorder="1" applyAlignment="1" applyProtection="1">
      <alignment horizontal="center" vertical="center"/>
      <protection locked="0"/>
    </xf>
    <xf numFmtId="0" fontId="20" fillId="4" borderId="0" xfId="0" applyFont="1" applyFill="1" applyBorder="1" applyAlignment="1"/>
    <xf numFmtId="49" fontId="2" fillId="0" borderId="0" xfId="0" applyNumberFormat="1" applyFont="1" applyFill="1" applyAlignment="1"/>
    <xf numFmtId="0" fontId="0" fillId="0" borderId="0" xfId="0" applyFont="1" applyFill="1" applyAlignment="1"/>
    <xf numFmtId="0" fontId="2" fillId="0" borderId="0" xfId="0" applyFont="1" applyFill="1" applyAlignment="1"/>
    <xf numFmtId="49" fontId="6" fillId="0" borderId="0" xfId="0" applyNumberFormat="1" applyFont="1" applyFill="1" applyAlignment="1" applyProtection="1">
      <protection locked="0"/>
    </xf>
    <xf numFmtId="0" fontId="6" fillId="0" borderId="2" xfId="0" applyFont="1" applyFill="1" applyBorder="1" applyAlignment="1" applyProtection="1">
      <alignment horizontal="center"/>
    </xf>
    <xf numFmtId="0" fontId="6" fillId="0" borderId="3" xfId="0" applyFont="1" applyFill="1" applyBorder="1" applyAlignment="1" applyProtection="1">
      <alignment horizontal="center"/>
    </xf>
    <xf numFmtId="49" fontId="6" fillId="0" borderId="4" xfId="0" applyNumberFormat="1" applyFont="1" applyFill="1" applyBorder="1" applyAlignment="1" applyProtection="1">
      <alignment horizontal="right"/>
      <protection locked="0"/>
    </xf>
    <xf numFmtId="0" fontId="6" fillId="0" borderId="6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"/>
    </xf>
    <xf numFmtId="49" fontId="6" fillId="0" borderId="7" xfId="0" applyNumberFormat="1" applyFont="1" applyFill="1" applyBorder="1" applyAlignment="1" applyProtection="1">
      <alignment horizontal="right"/>
      <protection locked="0"/>
    </xf>
    <xf numFmtId="0" fontId="6" fillId="0" borderId="9" xfId="0" applyFont="1" applyFill="1" applyBorder="1" applyAlignment="1" applyProtection="1">
      <alignment horizontal="center"/>
    </xf>
    <xf numFmtId="0" fontId="6" fillId="0" borderId="10" xfId="0" applyFont="1" applyFill="1" applyBorder="1" applyAlignment="1" applyProtection="1">
      <alignment horizontal="center"/>
    </xf>
    <xf numFmtId="49" fontId="6" fillId="0" borderId="11" xfId="0" applyNumberFormat="1" applyFont="1" applyFill="1" applyBorder="1" applyAlignment="1" applyProtection="1">
      <alignment horizontal="right"/>
      <protection locked="0"/>
    </xf>
    <xf numFmtId="0" fontId="1" fillId="0" borderId="12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3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tabSelected="1" workbookViewId="0">
      <selection activeCell="G23" sqref="G23"/>
    </sheetView>
  </sheetViews>
  <sheetFormatPr defaultColWidth="9" defaultRowHeight="14.25"/>
  <cols>
    <col min="1" max="1" width="12.5" style="3" customWidth="1"/>
    <col min="2" max="2" width="22.375" style="3" customWidth="1"/>
    <col min="3" max="3" width="7.5" style="4" customWidth="1"/>
    <col min="4" max="4" width="17.875" style="5" customWidth="1"/>
    <col min="5" max="5" width="13.625" style="5" customWidth="1"/>
    <col min="6" max="6" width="28.25" style="5" customWidth="1"/>
    <col min="7" max="7" width="31.125" style="6" customWidth="1"/>
    <col min="8" max="8" width="7.125" style="7" customWidth="1"/>
    <col min="9" max="9" width="11.5" style="8" customWidth="1"/>
    <col min="10" max="10" width="7.375" style="9" customWidth="1"/>
    <col min="11" max="11" width="6.875" style="9" customWidth="1"/>
    <col min="12" max="12" width="7.875" style="9" customWidth="1"/>
    <col min="13" max="13" width="9.125" style="10"/>
    <col min="14" max="16384" width="9" style="9"/>
  </cols>
  <sheetData>
    <row r="1" s="1" customFormat="1" ht="20.25" spans="1:14">
      <c r="A1" s="11" t="s">
        <v>0</v>
      </c>
      <c r="B1" s="11"/>
      <c r="C1" s="12"/>
      <c r="D1" s="13"/>
      <c r="E1" s="13"/>
      <c r="F1" s="13"/>
      <c r="G1" s="14"/>
      <c r="H1" s="11"/>
      <c r="I1" s="13"/>
      <c r="J1" s="11"/>
      <c r="K1" s="11"/>
      <c r="L1" s="11"/>
      <c r="M1" s="15"/>
      <c r="N1" s="16"/>
    </row>
    <row r="2" s="1" customFormat="1" ht="18.75" spans="1:14">
      <c r="A2" s="11" t="s">
        <v>1</v>
      </c>
      <c r="B2" s="11"/>
      <c r="C2" s="12"/>
      <c r="D2" s="13"/>
      <c r="E2" s="13"/>
      <c r="F2" s="13"/>
      <c r="G2" s="14"/>
      <c r="H2" s="11"/>
      <c r="I2" s="13"/>
      <c r="J2" s="11"/>
      <c r="K2" s="11"/>
      <c r="L2" s="11"/>
      <c r="M2" s="17"/>
      <c r="N2" s="18"/>
    </row>
    <row r="3" s="1" customFormat="1" ht="15.75" spans="1:14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5"/>
      <c r="N3" s="20"/>
    </row>
    <row r="4" s="1" customFormat="1" ht="16.5" spans="1:14">
      <c r="A4" s="21"/>
      <c r="B4" s="21"/>
      <c r="C4" s="22"/>
      <c r="D4" s="23"/>
      <c r="E4" s="23"/>
      <c r="F4" s="23"/>
      <c r="G4" s="24"/>
      <c r="H4" s="25"/>
      <c r="I4" s="25"/>
      <c r="J4" s="26"/>
      <c r="K4" s="25"/>
      <c r="L4" s="26"/>
      <c r="M4" s="27"/>
      <c r="N4" s="28"/>
    </row>
    <row r="5" s="1" customFormat="1" spans="1:14">
      <c r="A5" s="29" t="s">
        <v>3</v>
      </c>
      <c r="B5" s="29"/>
      <c r="C5" s="30"/>
      <c r="D5" s="31"/>
      <c r="E5" s="32"/>
      <c r="F5" s="32" t="s">
        <v>4</v>
      </c>
      <c r="G5" s="33"/>
      <c r="H5" s="25"/>
      <c r="I5" s="34" t="s">
        <v>5</v>
      </c>
      <c r="J5" s="35"/>
      <c r="K5" s="36"/>
      <c r="L5" s="37"/>
      <c r="M5" s="38"/>
      <c r="N5" s="39"/>
    </row>
    <row r="6" s="1" customFormat="1" ht="16.5" spans="1:14">
      <c r="A6" s="40" t="s">
        <v>6</v>
      </c>
      <c r="B6" s="40"/>
      <c r="C6" s="41"/>
      <c r="D6" s="42"/>
      <c r="E6" s="43"/>
      <c r="F6" s="43" t="s">
        <v>7</v>
      </c>
      <c r="G6" s="33"/>
      <c r="H6" s="25"/>
      <c r="I6" s="44" t="s">
        <v>8</v>
      </c>
      <c r="J6" s="45" t="s">
        <v>9</v>
      </c>
      <c r="K6" s="25"/>
      <c r="L6" s="46"/>
      <c r="M6" s="27"/>
      <c r="N6" s="39"/>
    </row>
    <row r="7" s="1" customFormat="1" ht="16.5" spans="1:14">
      <c r="A7" s="47" t="s">
        <v>10</v>
      </c>
      <c r="B7" s="47"/>
      <c r="C7" s="48"/>
      <c r="D7" s="42"/>
      <c r="E7" s="43"/>
      <c r="F7" s="43" t="s">
        <v>11</v>
      </c>
      <c r="G7" s="33"/>
      <c r="H7" s="21"/>
      <c r="I7" s="44" t="s">
        <v>12</v>
      </c>
      <c r="J7" s="49" t="s">
        <v>13</v>
      </c>
      <c r="K7" s="25"/>
      <c r="L7" s="46"/>
      <c r="M7" s="27"/>
      <c r="N7" s="39"/>
    </row>
    <row r="8" s="1" customFormat="1" ht="16.5" spans="1:14">
      <c r="A8" s="50" t="s">
        <v>14</v>
      </c>
      <c r="B8" s="47"/>
      <c r="C8" s="48"/>
      <c r="D8" s="42"/>
      <c r="E8" s="43"/>
      <c r="F8" s="43" t="s">
        <v>15</v>
      </c>
      <c r="G8" s="33"/>
      <c r="H8" s="21"/>
      <c r="I8" s="44"/>
      <c r="J8" s="49"/>
      <c r="K8" s="25"/>
      <c r="L8" s="46"/>
      <c r="M8" s="27"/>
      <c r="N8" s="39"/>
    </row>
    <row r="9" s="1" customFormat="1" ht="16.5" spans="1:14">
      <c r="A9" s="47" t="s">
        <v>16</v>
      </c>
      <c r="B9" s="50"/>
      <c r="C9" s="50"/>
      <c r="D9" s="42"/>
      <c r="E9" s="43"/>
      <c r="F9" s="43" t="s">
        <v>17</v>
      </c>
      <c r="G9" s="33"/>
      <c r="H9" s="21"/>
      <c r="I9" s="44" t="s">
        <v>18</v>
      </c>
      <c r="J9" s="45" t="s">
        <v>9</v>
      </c>
      <c r="K9" s="25"/>
      <c r="L9" s="46"/>
      <c r="M9" s="27"/>
      <c r="N9" s="39"/>
    </row>
    <row r="10" s="1" customFormat="1" ht="16.5" spans="1:14">
      <c r="A10" s="47" t="s">
        <v>19</v>
      </c>
      <c r="B10" s="48"/>
      <c r="C10" s="48"/>
      <c r="D10" s="42"/>
      <c r="E10" s="43"/>
      <c r="F10" s="51" t="s">
        <v>20</v>
      </c>
      <c r="G10" s="33"/>
      <c r="H10" s="21"/>
      <c r="I10" s="44" t="s">
        <v>21</v>
      </c>
      <c r="J10" s="49" t="s">
        <v>22</v>
      </c>
      <c r="K10" s="25"/>
      <c r="L10" s="46"/>
      <c r="M10" s="27"/>
      <c r="N10" s="39"/>
    </row>
    <row r="11" s="1" customFormat="1" ht="17.25" spans="1:14">
      <c r="A11" s="52"/>
      <c r="B11" s="53"/>
      <c r="C11" s="48"/>
      <c r="D11" s="42"/>
      <c r="E11" s="51"/>
      <c r="F11" s="51"/>
      <c r="G11" s="33"/>
      <c r="H11" s="21"/>
      <c r="I11" s="54" t="s">
        <v>23</v>
      </c>
      <c r="J11" s="55"/>
      <c r="K11" s="56"/>
      <c r="L11" s="57"/>
      <c r="M11" s="27"/>
      <c r="N11" s="39"/>
    </row>
    <row r="12" s="1" customFormat="1" ht="16.5" spans="1:14">
      <c r="A12" s="52"/>
      <c r="B12" s="52"/>
      <c r="C12" s="52"/>
      <c r="D12" s="42"/>
      <c r="E12" s="51"/>
      <c r="F12" s="51"/>
      <c r="G12" s="33"/>
      <c r="H12" s="21"/>
      <c r="I12" s="58"/>
      <c r="J12" s="59"/>
      <c r="K12" s="58"/>
      <c r="L12" s="59"/>
      <c r="M12" s="27"/>
      <c r="N12" s="39"/>
    </row>
    <row r="13" s="1" customFormat="1" spans="1:14">
      <c r="A13" s="21"/>
      <c r="B13" s="21"/>
      <c r="C13" s="30"/>
      <c r="D13" s="31"/>
      <c r="E13" s="31"/>
      <c r="F13" s="31"/>
      <c r="G13" s="33"/>
      <c r="H13" s="21"/>
      <c r="I13" s="31"/>
      <c r="J13" s="59"/>
      <c r="K13" s="59"/>
      <c r="L13" s="31"/>
      <c r="M13" s="23"/>
      <c r="N13" s="60"/>
    </row>
    <row r="14" s="1" customFormat="1" spans="1:14">
      <c r="A14" s="61" t="s">
        <v>24</v>
      </c>
      <c r="B14" s="61" t="s">
        <v>25</v>
      </c>
      <c r="C14" s="62" t="s">
        <v>26</v>
      </c>
      <c r="D14" s="63" t="s">
        <v>27</v>
      </c>
      <c r="E14" s="63" t="s">
        <v>28</v>
      </c>
      <c r="F14" s="64" t="s">
        <v>29</v>
      </c>
      <c r="G14" s="65" t="s">
        <v>30</v>
      </c>
      <c r="H14" s="66" t="s">
        <v>31</v>
      </c>
      <c r="I14" s="66" t="s">
        <v>32</v>
      </c>
      <c r="J14" s="67" t="s">
        <v>33</v>
      </c>
      <c r="K14" s="67" t="s">
        <v>34</v>
      </c>
      <c r="L14" s="67" t="s">
        <v>35</v>
      </c>
      <c r="M14" s="68"/>
    </row>
    <row r="15" s="2" customFormat="1" ht="16" customHeight="1" spans="1:14">
      <c r="A15" s="69" t="s">
        <v>36</v>
      </c>
      <c r="B15" s="69">
        <v>8</v>
      </c>
      <c r="C15" s="70" t="s">
        <v>37</v>
      </c>
      <c r="D15" s="71" t="s">
        <v>38</v>
      </c>
      <c r="E15" s="71" t="s">
        <v>39</v>
      </c>
      <c r="F15" s="71" t="s">
        <v>40</v>
      </c>
      <c r="G15" s="71" t="s">
        <v>41</v>
      </c>
      <c r="H15" s="72">
        <v>15</v>
      </c>
      <c r="I15" s="72">
        <f>B15*H15</f>
        <v>120</v>
      </c>
      <c r="J15" s="73">
        <v>8</v>
      </c>
      <c r="K15" s="73">
        <v>9</v>
      </c>
      <c r="L15" s="74" t="s">
        <v>42</v>
      </c>
      <c r="M15" s="75"/>
    </row>
    <row r="16" s="2" customFormat="1" ht="16" customHeight="1" spans="1:14">
      <c r="A16" s="69" t="s">
        <v>43</v>
      </c>
      <c r="B16" s="69">
        <v>18</v>
      </c>
      <c r="C16" s="70" t="s">
        <v>37</v>
      </c>
      <c r="D16" s="71" t="s">
        <v>44</v>
      </c>
      <c r="E16" s="71" t="s">
        <v>45</v>
      </c>
      <c r="F16" s="71" t="s">
        <v>40</v>
      </c>
      <c r="G16" s="71" t="s">
        <v>41</v>
      </c>
      <c r="H16" s="72">
        <v>15</v>
      </c>
      <c r="I16" s="72">
        <f>B16*H16</f>
        <v>270</v>
      </c>
      <c r="J16" s="73"/>
      <c r="K16" s="73"/>
      <c r="L16" s="74"/>
      <c r="M16" s="75"/>
    </row>
    <row r="17" s="2" customFormat="1" ht="16" customHeight="1" spans="1:13">
      <c r="A17" s="69" t="s">
        <v>46</v>
      </c>
      <c r="B17" s="69">
        <v>36</v>
      </c>
      <c r="C17" s="70" t="s">
        <v>37</v>
      </c>
      <c r="D17" s="71" t="s">
        <v>47</v>
      </c>
      <c r="E17" s="110" t="s">
        <v>48</v>
      </c>
      <c r="F17" s="71" t="s">
        <v>40</v>
      </c>
      <c r="G17" s="71" t="s">
        <v>41</v>
      </c>
      <c r="H17" s="72">
        <v>12</v>
      </c>
      <c r="I17" s="72">
        <f>B17*H17</f>
        <v>432</v>
      </c>
      <c r="J17" s="73"/>
      <c r="K17" s="73"/>
      <c r="L17" s="74"/>
      <c r="M17" s="75"/>
    </row>
    <row r="18" s="2" customFormat="1" ht="16" customHeight="1" spans="1:13">
      <c r="A18" s="69" t="s">
        <v>49</v>
      </c>
      <c r="B18" s="69">
        <v>10</v>
      </c>
      <c r="C18" s="70" t="s">
        <v>37</v>
      </c>
      <c r="D18" s="71" t="s">
        <v>50</v>
      </c>
      <c r="E18" s="71" t="s">
        <v>51</v>
      </c>
      <c r="F18" s="71" t="s">
        <v>40</v>
      </c>
      <c r="G18" s="71" t="s">
        <v>41</v>
      </c>
      <c r="H18" s="72">
        <v>12</v>
      </c>
      <c r="I18" s="72">
        <f>B18*H18</f>
        <v>120</v>
      </c>
      <c r="J18" s="73"/>
      <c r="K18" s="73"/>
      <c r="L18" s="74"/>
      <c r="M18" s="75"/>
    </row>
    <row r="19" s="2" customFormat="1" ht="16" customHeight="1" spans="1:13">
      <c r="A19" s="69" t="s">
        <v>52</v>
      </c>
      <c r="B19" s="69">
        <v>3</v>
      </c>
      <c r="C19" s="70" t="s">
        <v>37</v>
      </c>
      <c r="D19" s="71" t="s">
        <v>53</v>
      </c>
      <c r="E19" s="71" t="s">
        <v>54</v>
      </c>
      <c r="F19" s="71" t="s">
        <v>40</v>
      </c>
      <c r="G19" s="71" t="s">
        <v>41</v>
      </c>
      <c r="H19" s="72">
        <v>12</v>
      </c>
      <c r="I19" s="72">
        <f>B19*H19</f>
        <v>36</v>
      </c>
      <c r="J19" s="73"/>
      <c r="K19" s="73"/>
      <c r="L19" s="74"/>
      <c r="M19" s="75"/>
    </row>
    <row r="20" s="2" customFormat="1" ht="16" customHeight="1" spans="1:13">
      <c r="A20" s="69">
        <v>76</v>
      </c>
      <c r="B20" s="69">
        <v>1</v>
      </c>
      <c r="C20" s="70" t="s">
        <v>37</v>
      </c>
      <c r="D20" s="71" t="s">
        <v>38</v>
      </c>
      <c r="E20" s="71" t="s">
        <v>39</v>
      </c>
      <c r="F20" s="71" t="s">
        <v>40</v>
      </c>
      <c r="G20" s="71" t="s">
        <v>41</v>
      </c>
      <c r="H20" s="72"/>
      <c r="I20" s="72">
        <v>11</v>
      </c>
      <c r="J20" s="73"/>
      <c r="K20" s="73"/>
      <c r="L20" s="74"/>
      <c r="M20" s="75"/>
    </row>
    <row r="21" s="2" customFormat="1" ht="16" customHeight="1" spans="1:13">
      <c r="A21" s="69" t="s">
        <v>55</v>
      </c>
      <c r="B21" s="69">
        <v>1</v>
      </c>
      <c r="C21" s="70" t="s">
        <v>37</v>
      </c>
      <c r="D21" s="71" t="s">
        <v>44</v>
      </c>
      <c r="E21" s="71" t="s">
        <v>45</v>
      </c>
      <c r="F21" s="71" t="s">
        <v>40</v>
      </c>
      <c r="G21" s="71" t="s">
        <v>41</v>
      </c>
      <c r="H21" s="72"/>
      <c r="I21" s="72">
        <v>3</v>
      </c>
      <c r="J21" s="73"/>
      <c r="K21" s="73"/>
      <c r="L21" s="74"/>
      <c r="M21" s="75"/>
    </row>
    <row r="22" s="2" customFormat="1" ht="16" customHeight="1" spans="1:13">
      <c r="A22" s="76"/>
      <c r="B22" s="76"/>
      <c r="C22" s="70" t="s">
        <v>37</v>
      </c>
      <c r="D22" s="71" t="s">
        <v>47</v>
      </c>
      <c r="E22" s="110" t="s">
        <v>48</v>
      </c>
      <c r="F22" s="71" t="s">
        <v>40</v>
      </c>
      <c r="G22" s="71" t="s">
        <v>41</v>
      </c>
      <c r="H22" s="72"/>
      <c r="I22" s="72">
        <v>2</v>
      </c>
      <c r="J22" s="73"/>
      <c r="K22" s="73"/>
      <c r="L22" s="74"/>
      <c r="M22" s="75"/>
    </row>
    <row r="23" s="2" customFormat="1" ht="16" customHeight="1" spans="1:13">
      <c r="A23" s="76"/>
      <c r="B23" s="76"/>
      <c r="C23" s="70" t="s">
        <v>37</v>
      </c>
      <c r="D23" s="71" t="s">
        <v>50</v>
      </c>
      <c r="E23" s="71" t="s">
        <v>51</v>
      </c>
      <c r="F23" s="71" t="s">
        <v>40</v>
      </c>
      <c r="G23" s="71" t="s">
        <v>41</v>
      </c>
      <c r="H23" s="72"/>
      <c r="I23" s="72">
        <v>1</v>
      </c>
      <c r="J23" s="73"/>
      <c r="K23" s="73"/>
      <c r="L23" s="74"/>
      <c r="M23" s="75"/>
    </row>
    <row r="24" s="2" customFormat="1" ht="16" customHeight="1" spans="1:13">
      <c r="A24" s="76"/>
      <c r="B24" s="76"/>
      <c r="C24" s="70" t="s">
        <v>37</v>
      </c>
      <c r="D24" s="71" t="s">
        <v>53</v>
      </c>
      <c r="E24" s="71" t="s">
        <v>54</v>
      </c>
      <c r="F24" s="71" t="s">
        <v>40</v>
      </c>
      <c r="G24" s="71" t="s">
        <v>41</v>
      </c>
      <c r="H24" s="72"/>
      <c r="I24" s="72">
        <v>5</v>
      </c>
      <c r="J24" s="73"/>
      <c r="K24" s="73"/>
      <c r="L24" s="74"/>
      <c r="M24" s="75"/>
    </row>
    <row r="25" s="2" customFormat="1" ht="16" customHeight="1" spans="1:13">
      <c r="A25" s="76"/>
      <c r="B25" s="76"/>
      <c r="C25" s="70"/>
      <c r="D25" s="71"/>
      <c r="E25" s="71"/>
      <c r="F25" s="71"/>
      <c r="G25" s="71"/>
      <c r="H25" s="72"/>
      <c r="I25" s="72"/>
      <c r="J25" s="73"/>
      <c r="K25" s="73"/>
      <c r="L25" s="74"/>
      <c r="M25" s="75"/>
    </row>
    <row r="26" s="2" customFormat="1" ht="16" customHeight="1" spans="1:13">
      <c r="A26" s="76"/>
      <c r="B26" s="76"/>
      <c r="C26" s="70"/>
      <c r="D26" s="71"/>
      <c r="E26" s="71"/>
      <c r="F26" s="71"/>
      <c r="G26" s="71"/>
      <c r="H26" s="72"/>
      <c r="I26" s="72"/>
      <c r="J26" s="73"/>
      <c r="K26" s="73"/>
      <c r="L26" s="74"/>
      <c r="M26" s="75"/>
    </row>
    <row r="27" s="2" customFormat="1" ht="16" customHeight="1" spans="1:13">
      <c r="A27" s="77"/>
      <c r="B27" s="77"/>
      <c r="C27" s="70"/>
      <c r="D27" s="71"/>
      <c r="E27" s="71"/>
      <c r="F27" s="78"/>
      <c r="G27" s="78"/>
      <c r="H27" s="72"/>
      <c r="I27" s="72"/>
      <c r="J27" s="73"/>
      <c r="K27" s="73"/>
      <c r="L27" s="74"/>
      <c r="M27" s="75"/>
    </row>
    <row r="28" s="2" customFormat="1" ht="12.75" spans="1:13">
      <c r="A28" s="79"/>
      <c r="B28" s="80"/>
      <c r="C28" s="81"/>
      <c r="D28" s="71"/>
      <c r="E28" s="71"/>
      <c r="F28" s="71"/>
      <c r="G28" s="71"/>
      <c r="H28" s="72"/>
      <c r="I28" s="72"/>
      <c r="J28" s="82"/>
      <c r="K28" s="82"/>
      <c r="L28" s="82"/>
      <c r="M28" s="75"/>
    </row>
    <row r="29" s="2" customFormat="1" ht="12.75" spans="1:13">
      <c r="A29" s="80"/>
      <c r="B29" s="80"/>
      <c r="C29" s="81"/>
      <c r="D29" s="71"/>
      <c r="E29" s="71"/>
      <c r="F29" s="71"/>
      <c r="G29" s="71"/>
      <c r="H29" s="72"/>
      <c r="I29" s="72"/>
      <c r="J29" s="82"/>
      <c r="K29" s="82"/>
      <c r="L29" s="82"/>
      <c r="M29" s="75"/>
    </row>
    <row r="30" s="2" customFormat="1" ht="18" spans="1:13">
      <c r="A30" s="80"/>
      <c r="B30" s="80"/>
      <c r="C30" s="81"/>
      <c r="D30" s="72"/>
      <c r="E30" s="72"/>
      <c r="F30" s="72"/>
      <c r="G30" s="83"/>
      <c r="H30" s="72"/>
      <c r="I30" s="84">
        <f>SUM(I15:I29)</f>
        <v>1000</v>
      </c>
      <c r="J30" s="74"/>
      <c r="K30" s="74"/>
      <c r="L30" s="74"/>
      <c r="M30" s="75"/>
    </row>
    <row r="31" s="2" customFormat="1" ht="12.75" spans="1:13">
      <c r="A31" s="74" t="s">
        <v>56</v>
      </c>
      <c r="B31" s="80">
        <f>SUM(B15:B30)</f>
        <v>77</v>
      </c>
      <c r="C31" s="81"/>
      <c r="D31" s="72"/>
      <c r="E31" s="72"/>
      <c r="F31" s="72"/>
      <c r="G31" s="83"/>
      <c r="H31" s="72"/>
      <c r="I31" s="74"/>
      <c r="J31" s="74"/>
      <c r="K31" s="74"/>
      <c r="L31" s="74"/>
      <c r="M31" s="75"/>
    </row>
    <row r="32" s="2" customFormat="1" ht="12.75" spans="1:13">
      <c r="A32" s="85"/>
      <c r="B32" s="74"/>
      <c r="C32" s="81"/>
      <c r="D32" s="74"/>
      <c r="E32" s="74"/>
      <c r="F32" s="74"/>
      <c r="G32" s="86"/>
      <c r="H32" s="74"/>
      <c r="I32" s="72"/>
      <c r="J32" s="74"/>
      <c r="K32" s="74"/>
      <c r="L32" s="74"/>
      <c r="M32" s="75"/>
    </row>
    <row r="33" s="2" customFormat="1" ht="12.75" spans="1:13">
      <c r="A33" s="87"/>
      <c r="B33" s="87"/>
      <c r="C33" s="88"/>
      <c r="D33" s="87"/>
      <c r="E33" s="87"/>
      <c r="F33" s="87"/>
      <c r="G33" s="89"/>
      <c r="H33" s="87"/>
      <c r="I33" s="90"/>
      <c r="J33" s="91"/>
      <c r="K33" s="87"/>
      <c r="L33" s="87"/>
      <c r="M33" s="92"/>
    </row>
    <row r="34" s="2" customFormat="1" ht="16" customHeight="1" spans="1:13">
      <c r="A34" s="90"/>
      <c r="B34" s="90"/>
      <c r="C34" s="93"/>
      <c r="D34" s="90"/>
      <c r="E34" s="90"/>
      <c r="F34" s="90"/>
      <c r="G34" s="94"/>
      <c r="H34" s="90"/>
      <c r="I34" s="90"/>
      <c r="J34" s="95"/>
      <c r="K34" s="90"/>
      <c r="L34" s="90"/>
      <c r="M34" s="96"/>
    </row>
    <row r="35" spans="1:13">
      <c r="A35" s="7"/>
      <c r="B35" s="7"/>
      <c r="C35" s="97"/>
      <c r="D35" s="8"/>
      <c r="E35" s="8"/>
      <c r="F35" s="8"/>
      <c r="J35" s="98"/>
      <c r="K35" s="98"/>
      <c r="L35" s="98"/>
      <c r="M35" s="99"/>
    </row>
    <row r="36" ht="15" spans="1:13">
      <c r="A36" s="21" t="s">
        <v>57</v>
      </c>
      <c r="B36" s="21"/>
      <c r="C36" s="100"/>
      <c r="D36" s="8"/>
      <c r="E36" s="8"/>
      <c r="F36" s="8"/>
      <c r="J36" s="98"/>
      <c r="K36" s="98"/>
      <c r="L36" s="98"/>
      <c r="M36" s="99"/>
    </row>
    <row r="37" spans="1:13">
      <c r="A37" s="101" t="s">
        <v>58</v>
      </c>
      <c r="B37" s="102"/>
      <c r="C37" s="103" t="s">
        <v>59</v>
      </c>
      <c r="D37" s="8"/>
      <c r="E37" s="8"/>
      <c r="F37" s="8"/>
      <c r="J37" s="98"/>
      <c r="K37" s="98"/>
      <c r="L37" s="98"/>
      <c r="M37" s="99"/>
    </row>
    <row r="38" spans="1:13">
      <c r="A38" s="104" t="s">
        <v>60</v>
      </c>
      <c r="B38" s="105"/>
      <c r="C38" s="106" t="s">
        <v>61</v>
      </c>
      <c r="D38" s="8"/>
      <c r="E38" s="8"/>
      <c r="F38" s="8"/>
      <c r="J38" s="98"/>
      <c r="K38" s="98"/>
      <c r="L38" s="98"/>
      <c r="M38" s="99"/>
    </row>
    <row r="39" spans="1:13">
      <c r="A39" s="104" t="s">
        <v>62</v>
      </c>
      <c r="B39" s="105"/>
      <c r="C39" s="106" t="s">
        <v>63</v>
      </c>
      <c r="D39" s="8"/>
      <c r="E39" s="8"/>
      <c r="F39" s="8"/>
      <c r="J39" s="98"/>
      <c r="K39" s="98"/>
      <c r="L39" s="98"/>
      <c r="M39" s="99"/>
    </row>
    <row r="40" spans="1:13">
      <c r="A40" s="104" t="s">
        <v>64</v>
      </c>
      <c r="B40" s="105"/>
      <c r="C40" s="106" t="s">
        <v>65</v>
      </c>
      <c r="D40" s="8"/>
      <c r="E40" s="8"/>
      <c r="F40" s="8"/>
      <c r="J40" s="98"/>
      <c r="K40" s="98"/>
      <c r="L40" s="98"/>
      <c r="M40" s="99"/>
    </row>
    <row r="41" ht="15" spans="1:13">
      <c r="A41" s="107" t="s">
        <v>66</v>
      </c>
      <c r="B41" s="108"/>
      <c r="C41" s="109" t="s">
        <v>67</v>
      </c>
      <c r="D41" s="8"/>
      <c r="E41" s="8"/>
      <c r="F41" s="8"/>
      <c r="J41" s="98"/>
      <c r="K41" s="98"/>
      <c r="L41" s="98"/>
      <c r="M41" s="99"/>
    </row>
  </sheetData>
  <mergeCells count="5">
    <mergeCell ref="A1:L1"/>
    <mergeCell ref="A2:L2"/>
    <mergeCell ref="A3:L3"/>
    <mergeCell ref="A6:B6"/>
    <mergeCell ref="A7:B7"/>
  </mergeCells>
  <conditionalFormatting sqref="D15">
    <cfRule type="duplicateValues" dxfId="0" priority="27"/>
  </conditionalFormatting>
  <conditionalFormatting sqref="E15">
    <cfRule type="duplicateValues" dxfId="0" priority="28"/>
  </conditionalFormatting>
  <conditionalFormatting sqref="D16">
    <cfRule type="duplicateValues" dxfId="0" priority="25"/>
  </conditionalFormatting>
  <conditionalFormatting sqref="E16">
    <cfRule type="duplicateValues" dxfId="0" priority="26"/>
  </conditionalFormatting>
  <conditionalFormatting sqref="D17">
    <cfRule type="duplicateValues" dxfId="0" priority="29"/>
  </conditionalFormatting>
  <conditionalFormatting sqref="E17">
    <cfRule type="duplicateValues" dxfId="0" priority="30"/>
  </conditionalFormatting>
  <conditionalFormatting sqref="D18">
    <cfRule type="duplicateValues" dxfId="0" priority="23"/>
  </conditionalFormatting>
  <conditionalFormatting sqref="E18">
    <cfRule type="duplicateValues" dxfId="0" priority="24"/>
  </conditionalFormatting>
  <conditionalFormatting sqref="D19">
    <cfRule type="duplicateValues" dxfId="0" priority="21"/>
  </conditionalFormatting>
  <conditionalFormatting sqref="E19">
    <cfRule type="duplicateValues" dxfId="0" priority="22"/>
  </conditionalFormatting>
  <conditionalFormatting sqref="D20">
    <cfRule type="duplicateValues" dxfId="0" priority="7"/>
  </conditionalFormatting>
  <conditionalFormatting sqref="E20">
    <cfRule type="duplicateValues" dxfId="0" priority="8"/>
  </conditionalFormatting>
  <conditionalFormatting sqref="D21">
    <cfRule type="duplicateValues" dxfId="0" priority="5"/>
  </conditionalFormatting>
  <conditionalFormatting sqref="E21">
    <cfRule type="duplicateValues" dxfId="0" priority="6"/>
  </conditionalFormatting>
  <conditionalFormatting sqref="D22">
    <cfRule type="duplicateValues" dxfId="0" priority="9"/>
  </conditionalFormatting>
  <conditionalFormatting sqref="E22">
    <cfRule type="duplicateValues" dxfId="0" priority="10"/>
  </conditionalFormatting>
  <conditionalFormatting sqref="D23">
    <cfRule type="duplicateValues" dxfId="0" priority="3"/>
  </conditionalFormatting>
  <conditionalFormatting sqref="E23">
    <cfRule type="duplicateValues" dxfId="0" priority="4"/>
  </conditionalFormatting>
  <conditionalFormatting sqref="D24">
    <cfRule type="duplicateValues" dxfId="0" priority="1"/>
  </conditionalFormatting>
  <conditionalFormatting sqref="E24">
    <cfRule type="duplicateValues" dxfId="0" priority="2"/>
  </conditionalFormatting>
  <conditionalFormatting sqref="D25">
    <cfRule type="duplicateValues" dxfId="0" priority="3119"/>
  </conditionalFormatting>
  <conditionalFormatting sqref="E25">
    <cfRule type="duplicateValues" dxfId="0" priority="3120"/>
  </conditionalFormatting>
  <conditionalFormatting sqref="D26">
    <cfRule type="duplicateValues" dxfId="0" priority="7689"/>
  </conditionalFormatting>
  <conditionalFormatting sqref="E26">
    <cfRule type="duplicateValues" dxfId="0" priority="7690"/>
  </conditionalFormatting>
  <conditionalFormatting sqref="D27">
    <cfRule type="duplicateValues" dxfId="0" priority="8283"/>
  </conditionalFormatting>
  <conditionalFormatting sqref="E27">
    <cfRule type="duplicateValues" dxfId="0" priority="8284"/>
  </conditionalFormatting>
  <conditionalFormatting sqref="F29">
    <cfRule type="duplicateValues" dxfId="0" priority="27466"/>
  </conditionalFormatting>
  <conditionalFormatting sqref="G29">
    <cfRule type="duplicateValues" dxfId="0" priority="27467"/>
  </conditionalFormatting>
  <conditionalFormatting sqref="D28:D29">
    <cfRule type="duplicateValues" dxfId="0" priority="19247"/>
  </conditionalFormatting>
  <conditionalFormatting sqref="E28:E29">
    <cfRule type="duplicateValues" dxfId="0" priority="19248"/>
  </conditionalFormatting>
  <pageMargins left="0.751388888888889" right="0.751388888888889" top="1" bottom="1" header="0.5" footer="0.5"/>
  <pageSetup paperSize="9" scale="40" orientation="portrait" horizontalDpi="600"/>
  <headerFooter/>
  <rowBreaks count="1" manualBreakCount="1">
    <brk id="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JPM</dc:creator>
  <cp:lastModifiedBy>微信用户</cp:lastModifiedBy>
  <dcterms:created xsi:type="dcterms:W3CDTF">2019-02-07T18:10:00Z</dcterms:created>
  <cp:lastPrinted>2019-02-14T00:10:00Z</cp:lastPrinted>
  <dcterms:modified xsi:type="dcterms:W3CDTF">2026-08-25T03:25:25Z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KSOReadingLayout">
    <vt:bool>false</vt:bool>
  </property>
  <property fmtid="{D5CDD505-2E9C-101B-9397-08002B2CF9AE}" pid="4" name="ICV">
    <vt:lpwstr>6715858F47EA4F5198D14A60E8F1FCC5</vt:lpwstr>
  </property>
  <property fmtid="{D5CDD505-2E9C-101B-9397-08002B2CF9AE}" pid="5" name="CalculationRule">
    <vt:i4>0</vt:i4>
  </property>
</Properties>
</file>