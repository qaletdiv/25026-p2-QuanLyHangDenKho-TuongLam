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.le_tentree\Downloads\"/>
    </mc:Choice>
  </mc:AlternateContent>
  <xr:revisionPtr revIDLastSave="0" documentId="13_ncr:1_{D95C0CE1-8F65-4B07-BECD-E809CEB56459}" xr6:coauthVersionLast="47" xr6:coauthVersionMax="47" xr10:uidLastSave="{00000000-0000-0000-0000-000000000000}"/>
  <bookViews>
    <workbookView xWindow="-120" yWindow="-16320" windowWidth="29040" windowHeight="15720" activeTab="1" xr2:uid="{D18B105E-06EA-455B-B6CE-DA2A5C880C1B}"/>
  </bookViews>
  <sheets>
    <sheet name="Inv" sheetId="1" r:id="rId1"/>
    <sheet name="PL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" i="4" l="1"/>
  <c r="C85" i="4"/>
  <c r="K81" i="1" l="1"/>
  <c r="K85" i="4" l="1"/>
  <c r="J85" i="4"/>
  <c r="I85" i="4"/>
  <c r="C74" i="4"/>
  <c r="C62" i="4"/>
  <c r="C52" i="4"/>
  <c r="C42" i="4"/>
  <c r="C31" i="4"/>
  <c r="M22" i="1" l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 l="1"/>
  <c r="H15" i="4"/>
  <c r="H14" i="4"/>
  <c r="H13" i="4"/>
  <c r="H12" i="4"/>
  <c r="H11" i="4"/>
  <c r="H10" i="4"/>
</calcChain>
</file>

<file path=xl/sharedStrings.xml><?xml version="1.0" encoding="utf-8"?>
<sst xmlns="http://schemas.openxmlformats.org/spreadsheetml/2006/main" count="959" uniqueCount="142">
  <si>
    <t>PO #</t>
  </si>
  <si>
    <t>Invoice #</t>
  </si>
  <si>
    <t>Date</t>
  </si>
  <si>
    <t>Shipping Mode</t>
  </si>
  <si>
    <t>Shipment #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</si>
  <si>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</si>
  <si>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</si>
  <si>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</si>
  <si>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</si>
  <si>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</si>
  <si>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</si>
  <si>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</si>
  <si>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</si>
  <si>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tentree International</t>
  </si>
  <si>
    <t>230-1275 Venables St.</t>
  </si>
  <si>
    <t>Vancouver, BC V6A 2E4</t>
  </si>
  <si>
    <t>604-829-2706</t>
  </si>
  <si>
    <t>PO#</t>
  </si>
  <si>
    <t>SKU</t>
  </si>
  <si>
    <t>UPC</t>
  </si>
  <si>
    <t>Style Description</t>
  </si>
  <si>
    <t>Color Description</t>
  </si>
  <si>
    <t>Category</t>
  </si>
  <si>
    <t xml:space="preserve">Gender </t>
  </si>
  <si>
    <t>Composition</t>
  </si>
  <si>
    <t>HTS Code</t>
  </si>
  <si>
    <t>Quantity</t>
  </si>
  <si>
    <t>Unit Price USD</t>
  </si>
  <si>
    <t>Total USD</t>
  </si>
  <si>
    <t>Additional Remarks</t>
  </si>
  <si>
    <t>Seller Full Company Name and Adress :</t>
  </si>
  <si>
    <t>(Authorized Signature/ Company Mark)</t>
  </si>
  <si>
    <t>EASTERN WARMTH</t>
  </si>
  <si>
    <t>India</t>
  </si>
  <si>
    <t xml:space="preserve">PO # </t>
  </si>
  <si>
    <t>Invoice NO.</t>
  </si>
  <si>
    <t>S/C  NO.</t>
  </si>
  <si>
    <t>Packinglist No.</t>
  </si>
  <si>
    <t>DATE:</t>
  </si>
  <si>
    <t>PAGE:</t>
  </si>
  <si>
    <t>PCS/CTN</t>
  </si>
  <si>
    <t xml:space="preserve">  N/W</t>
  </si>
  <si>
    <t xml:space="preserve">  G/W</t>
  </si>
  <si>
    <t>MEASURE</t>
  </si>
  <si>
    <t>Supplier Name</t>
  </si>
  <si>
    <t>PACKING LIST</t>
  </si>
  <si>
    <t>CTN #</t>
  </si>
  <si>
    <t>Tentree c/o NRI Distribution Inc.</t>
  </si>
  <si>
    <t>8205 Dallas Dr</t>
  </si>
  <si>
    <t>Kamloops, BC V2C 6X2</t>
  </si>
  <si>
    <t>Contact name: Samantha Downer, Phone #: 2505732619</t>
  </si>
  <si>
    <t>SEA</t>
  </si>
  <si>
    <t>Vancouver</t>
  </si>
  <si>
    <t>Knit/Woven</t>
  </si>
  <si>
    <t>345, 9th Street,</t>
  </si>
  <si>
    <t xml:space="preserve">San Francisco, CA </t>
  </si>
  <si>
    <t>USA - 94103</t>
  </si>
  <si>
    <t>PO04756</t>
  </si>
  <si>
    <t>Mens</t>
  </si>
  <si>
    <t>Womens</t>
  </si>
  <si>
    <t>M Woodford Jacket</t>
  </si>
  <si>
    <t>60X40X30</t>
  </si>
  <si>
    <t>60X40X20</t>
  </si>
  <si>
    <t>TCM6692-6358-S</t>
  </si>
  <si>
    <t>661814889313</t>
  </si>
  <si>
    <t>Red Chestnut/Range Plaid</t>
  </si>
  <si>
    <t>TCM6692-6358-XL</t>
  </si>
  <si>
    <t>661814889290</t>
  </si>
  <si>
    <t>TCM6692-6358-M</t>
  </si>
  <si>
    <t>661814889337</t>
  </si>
  <si>
    <t>TCM6692-6358-L</t>
  </si>
  <si>
    <t>661814889351</t>
  </si>
  <si>
    <t>TCM6692-6358-XXL</t>
  </si>
  <si>
    <t>661814889276</t>
  </si>
  <si>
    <t>TCM6689-6357-S</t>
  </si>
  <si>
    <t>661814889818</t>
  </si>
  <si>
    <t>M Willingdon Jacket</t>
  </si>
  <si>
    <t>Cedar Bark/Cabin Plaid</t>
  </si>
  <si>
    <t>TCM6689-6357-XL</t>
  </si>
  <si>
    <t>661814889795</t>
  </si>
  <si>
    <t>TCM6689-6357-XXL</t>
  </si>
  <si>
    <t>661814889856</t>
  </si>
  <si>
    <t>TCM6689-6357-M</t>
  </si>
  <si>
    <t>661814889832</t>
  </si>
  <si>
    <t>TCM6689-6357-L</t>
  </si>
  <si>
    <t>661814889870</t>
  </si>
  <si>
    <t>TCM6689-6356-S</t>
  </si>
  <si>
    <t>661814889931</t>
  </si>
  <si>
    <t>Meteorite Black/Lumber Plaid</t>
  </si>
  <si>
    <t>TCM6689-6356-M</t>
  </si>
  <si>
    <t>661814889955</t>
  </si>
  <si>
    <t>TCM6689-6356-L</t>
  </si>
  <si>
    <t>661814889979</t>
  </si>
  <si>
    <t>TCM6689-6356-XL</t>
  </si>
  <si>
    <t>661814889917</t>
  </si>
  <si>
    <t>TCM6689-6356-XXL</t>
  </si>
  <si>
    <t>TCM6689-6355-S</t>
  </si>
  <si>
    <t>661814890036</t>
  </si>
  <si>
    <t>Midnight Blue/Lumber Plaid</t>
  </si>
  <si>
    <t>TCM6689-6355-M</t>
  </si>
  <si>
    <t>661814890050</t>
  </si>
  <si>
    <t>TCM6689-6355-L</t>
  </si>
  <si>
    <t>661814890074</t>
  </si>
  <si>
    <t>TCM6689-6355-XL</t>
  </si>
  <si>
    <t>661814890012</t>
  </si>
  <si>
    <t>TCM6689-6355-XXL</t>
  </si>
  <si>
    <t>661814889993</t>
  </si>
  <si>
    <t>TCW5971-6413-XS</t>
  </si>
  <si>
    <t>661814862408</t>
  </si>
  <si>
    <t>W Livingston Jacket</t>
  </si>
  <si>
    <t>Dark Forest Green/Upland Plaid</t>
  </si>
  <si>
    <t>TCW5971-6413-S</t>
  </si>
  <si>
    <t>661814862460</t>
  </si>
  <si>
    <t>TCW5971-6413-M</t>
  </si>
  <si>
    <t>661814862484</t>
  </si>
  <si>
    <t>TCW5971-6413-L</t>
  </si>
  <si>
    <t>661814862507</t>
  </si>
  <si>
    <t>TCW5971-6413-XL</t>
  </si>
  <si>
    <t>661814862422</t>
  </si>
  <si>
    <t>TCW6653-3567-XS</t>
  </si>
  <si>
    <t>661814874654</t>
  </si>
  <si>
    <t>W Palmetto Jacket</t>
  </si>
  <si>
    <t>Midnight Blue/Cabin Plaid</t>
  </si>
  <si>
    <t>TCW6653-3567-S</t>
  </si>
  <si>
    <t>661814874692</t>
  </si>
  <si>
    <t>TCW6653-3567-M</t>
  </si>
  <si>
    <t>661814874715</t>
  </si>
  <si>
    <t>TCW6653-3567-L</t>
  </si>
  <si>
    <t>661814874739</t>
  </si>
  <si>
    <t>TCW6653-3567-XL</t>
  </si>
  <si>
    <t>661814874678</t>
  </si>
  <si>
    <t>TOTAL CTN</t>
  </si>
  <si>
    <t xml:space="preserve">San Francisco , CA </t>
  </si>
  <si>
    <t>Nhava Sheva</t>
  </si>
  <si>
    <t>04728</t>
  </si>
  <si>
    <t>PO04728</t>
  </si>
  <si>
    <t>NRI CA Warehouse - NRI CA First Inventory</t>
  </si>
  <si>
    <t>Woven</t>
  </si>
  <si>
    <t>Jacket</t>
  </si>
  <si>
    <t>75% Organic Cotton 25% Recycled Cotton</t>
  </si>
  <si>
    <t>TT-374</t>
  </si>
  <si>
    <t>Say Tn Words Total US Dollars: Thirty Seven Thousand Seven Hundred Fifty Two Ans Thirty Seven Cents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</si>
</sst>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RCGN/E/&quot;000&quot;/2526&quot;"/>
    <numFmt numFmtId="166" formatCode="0.000"/>
  </numFmts>
  <fonts count="25">
    <font>
      <sz val="11"/>
      <color theme="1"/>
      <name val="Calibri"/>
      <family val="2"/>
      <scheme val="minor"/>
    </font>
    <font>
      <sz val="10"/>
      <name val="Book Antiqua"/>
      <family val="1"/>
    </font>
    <font>
      <sz val="8"/>
      <name val="Calibri"/>
      <family val="2"/>
      <scheme val="minor"/>
    </font>
    <font>
      <sz val="12"/>
      <name val="宋体"/>
      <charset val="134"/>
    </font>
    <font>
      <sz val="10"/>
      <name val="Verdana"/>
      <family val="2"/>
    </font>
    <font>
      <sz val="11"/>
      <color indexed="8"/>
      <name val="Calibri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b/>
      <u/>
      <sz val="10"/>
      <color theme="1"/>
      <name val="Book Antiqua"/>
      <family val="1"/>
    </font>
    <font>
      <b/>
      <sz val="10"/>
      <name val="Book Antiqua"/>
      <family val="1"/>
    </font>
    <font>
      <b/>
      <sz val="10"/>
      <color indexed="8"/>
      <name val="Book Antiqua"/>
      <family val="1"/>
    </font>
    <font>
      <sz val="10"/>
      <color indexed="8"/>
      <name val="Book Antiqua"/>
      <family val="1"/>
    </font>
    <font>
      <b/>
      <u/>
      <sz val="10"/>
      <color indexed="8"/>
      <name val="Book Antiqua"/>
      <family val="1"/>
    </font>
    <font>
      <b/>
      <sz val="10"/>
      <color rgb="FFFF0000"/>
      <name val="Book Antiqua"/>
      <family val="1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name val="Calibri"/>
      <family val="2"/>
      <scheme val="minor"/>
    </font>
    <font>
      <sz val="12"/>
      <name val="Book Antiqua"/>
      <family val="1"/>
    </font>
    <font>
      <sz val="9"/>
      <name val="Calibri"/>
      <family val="2"/>
    </font>
    <font>
      <b/>
      <sz val="9"/>
      <name val="Calibri"/>
      <family val="2"/>
      <scheme val="minor"/>
    </font>
    <font>
      <b/>
      <sz val="8"/>
      <name val="Calibri"/>
      <family val="2"/>
    </font>
    <font>
      <b/>
      <sz val="10"/>
      <color theme="1"/>
      <name val="Arial"/>
      <family val="2"/>
    </font>
    <font>
      <sz val="1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0" fontId="5" fillId="0" borderId="0"/>
    <xf numFmtId="0" fontId="16" fillId="0" borderId="0"/>
  </cellStyleXfs>
  <cellXfs count="180">
    <xf numFmtId="0" fontId="0" fillId="0" borderId="0" xfId="0"/>
    <xf numFmtId="0" fontId="1" fillId="0" borderId="9" xfId="0" applyFont="1" applyBorder="1"/>
    <xf numFmtId="0" fontId="10" fillId="0" borderId="15" xfId="3" applyFont="1" applyBorder="1" applyProtection="1">
      <protection locked="0"/>
    </xf>
    <xf numFmtId="0" fontId="10" fillId="0" borderId="17" xfId="3" applyFont="1" applyBorder="1" applyAlignment="1" applyProtection="1">
      <alignment vertical="center"/>
      <protection locked="0"/>
    </xf>
    <xf numFmtId="0" fontId="10" fillId="0" borderId="17" xfId="3" applyFont="1" applyBorder="1" applyProtection="1">
      <protection locked="0"/>
    </xf>
    <xf numFmtId="0" fontId="10" fillId="0" borderId="17" xfId="3" applyFont="1" applyBorder="1" applyAlignment="1" applyProtection="1">
      <alignment horizontal="center" vertical="center"/>
      <protection locked="0"/>
    </xf>
    <xf numFmtId="0" fontId="11" fillId="0" borderId="0" xfId="3" applyFont="1" applyAlignment="1">
      <alignment horizontal="center"/>
    </xf>
    <xf numFmtId="0" fontId="10" fillId="0" borderId="0" xfId="3" applyFont="1" applyAlignment="1" applyProtection="1">
      <alignment vertical="center"/>
      <protection locked="0"/>
    </xf>
    <xf numFmtId="0" fontId="10" fillId="0" borderId="0" xfId="3" applyFont="1" applyProtection="1">
      <protection locked="0"/>
    </xf>
    <xf numFmtId="0" fontId="10" fillId="0" borderId="0" xfId="3" applyFont="1" applyAlignment="1" applyProtection="1">
      <alignment horizontal="center" vertical="center"/>
      <protection locked="0"/>
    </xf>
    <xf numFmtId="0" fontId="11" fillId="0" borderId="0" xfId="3" applyFont="1" applyAlignment="1" applyProtection="1">
      <alignment horizontal="center" vertical="center"/>
      <protection locked="0"/>
    </xf>
    <xf numFmtId="0" fontId="10" fillId="0" borderId="9" xfId="3" applyFont="1" applyBorder="1" applyProtection="1">
      <protection locked="0"/>
    </xf>
    <xf numFmtId="0" fontId="11" fillId="0" borderId="0" xfId="3" applyFont="1" applyAlignment="1" applyProtection="1">
      <alignment horizontal="center"/>
      <protection locked="0"/>
    </xf>
    <xf numFmtId="0" fontId="12" fillId="0" borderId="0" xfId="3" applyFont="1" applyAlignment="1" applyProtection="1">
      <alignment horizontal="center" vertical="center"/>
      <protection locked="0"/>
    </xf>
    <xf numFmtId="0" fontId="12" fillId="0" borderId="12" xfId="3" applyFont="1" applyBorder="1" applyAlignment="1" applyProtection="1">
      <alignment horizontal="center" vertical="center"/>
      <protection locked="0"/>
    </xf>
    <xf numFmtId="0" fontId="11" fillId="0" borderId="9" xfId="3" applyFont="1" applyBorder="1" applyAlignment="1" applyProtection="1">
      <alignment horizontal="center"/>
      <protection locked="0"/>
    </xf>
    <xf numFmtId="0" fontId="9" fillId="0" borderId="9" xfId="3" applyFont="1" applyBorder="1" applyAlignment="1" applyProtection="1">
      <alignment horizontal="left"/>
      <protection locked="0"/>
    </xf>
    <xf numFmtId="0" fontId="13" fillId="0" borderId="0" xfId="3" applyFont="1" applyAlignment="1" applyProtection="1">
      <alignment horizontal="left" vertical="center"/>
      <protection locked="0"/>
    </xf>
    <xf numFmtId="0" fontId="13" fillId="0" borderId="0" xfId="3" applyFont="1" applyAlignment="1" applyProtection="1">
      <alignment horizontal="left"/>
      <protection locked="0"/>
    </xf>
    <xf numFmtId="0" fontId="10" fillId="0" borderId="0" xfId="3" applyFont="1" applyAlignment="1" applyProtection="1">
      <alignment horizontal="center"/>
      <protection locked="0"/>
    </xf>
    <xf numFmtId="0" fontId="11" fillId="0" borderId="12" xfId="3" applyFont="1" applyBorder="1" applyAlignment="1" applyProtection="1">
      <alignment horizontal="center"/>
      <protection locked="0"/>
    </xf>
    <xf numFmtId="0" fontId="13" fillId="0" borderId="9" xfId="3" applyFont="1" applyBorder="1" applyAlignment="1" applyProtection="1">
      <alignment horizontal="left"/>
      <protection locked="0"/>
    </xf>
    <xf numFmtId="0" fontId="10" fillId="0" borderId="17" xfId="3" applyFont="1" applyBorder="1" applyAlignment="1" applyProtection="1">
      <alignment horizontal="center"/>
      <protection locked="0"/>
    </xf>
    <xf numFmtId="0" fontId="10" fillId="0" borderId="0" xfId="3" applyFont="1" applyAlignment="1" applyProtection="1">
      <alignment horizontal="left"/>
      <protection locked="0"/>
    </xf>
    <xf numFmtId="0" fontId="11" fillId="0" borderId="0" xfId="3" applyFont="1" applyAlignment="1" applyProtection="1">
      <alignment horizontal="left"/>
      <protection locked="0"/>
    </xf>
    <xf numFmtId="0" fontId="17" fillId="0" borderId="1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7" fillId="0" borderId="0" xfId="0" quotePrefix="1" applyFont="1"/>
    <xf numFmtId="0" fontId="7" fillId="0" borderId="3" xfId="0" applyFont="1" applyBorder="1"/>
    <xf numFmtId="0" fontId="6" fillId="0" borderId="3" xfId="0" applyFont="1" applyBorder="1" applyAlignment="1">
      <alignment vertical="center"/>
    </xf>
    <xf numFmtId="14" fontId="7" fillId="0" borderId="0" xfId="0" applyNumberFormat="1" applyFont="1" applyAlignment="1">
      <alignment horizontal="center"/>
    </xf>
    <xf numFmtId="14" fontId="7" fillId="0" borderId="0" xfId="0" applyNumberFormat="1" applyFont="1"/>
    <xf numFmtId="0" fontId="7" fillId="0" borderId="0" xfId="0" applyFont="1" applyAlignment="1">
      <alignment horizontal="center"/>
    </xf>
    <xf numFmtId="0" fontId="1" fillId="0" borderId="0" xfId="0" applyFont="1"/>
    <xf numFmtId="0" fontId="15" fillId="0" borderId="10" xfId="0" applyFont="1" applyBorder="1"/>
    <xf numFmtId="0" fontId="16" fillId="0" borderId="10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/>
    <xf numFmtId="0" fontId="14" fillId="0" borderId="10" xfId="0" applyFont="1" applyBorder="1"/>
    <xf numFmtId="0" fontId="7" fillId="0" borderId="7" xfId="0" applyFont="1" applyBorder="1"/>
    <xf numFmtId="0" fontId="7" fillId="0" borderId="0" xfId="0" applyFont="1" applyAlignment="1">
      <alignment wrapText="1"/>
    </xf>
    <xf numFmtId="0" fontId="6" fillId="0" borderId="7" xfId="0" applyFont="1" applyBorder="1" applyAlignment="1">
      <alignment vertical="center"/>
    </xf>
    <xf numFmtId="1" fontId="7" fillId="0" borderId="0" xfId="0" applyNumberFormat="1" applyFont="1" applyAlignment="1">
      <alignment horizontal="center"/>
    </xf>
    <xf numFmtId="0" fontId="7" fillId="0" borderId="7" xfId="0" applyFont="1" applyBorder="1" applyAlignment="1">
      <alignment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3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7" fillId="0" borderId="5" xfId="0" applyFont="1" applyBorder="1" applyAlignment="1">
      <alignment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6" fillId="0" borderId="7" xfId="0" applyFont="1" applyBorder="1" applyAlignment="1">
      <alignment wrapText="1"/>
    </xf>
    <xf numFmtId="0" fontId="7" fillId="0" borderId="5" xfId="0" applyFont="1" applyBorder="1" applyAlignment="1">
      <alignment horizontal="center"/>
    </xf>
    <xf numFmtId="0" fontId="7" fillId="0" borderId="5" xfId="0" applyFont="1" applyBorder="1"/>
    <xf numFmtId="0" fontId="7" fillId="0" borderId="4" xfId="0" applyFont="1" applyBorder="1"/>
    <xf numFmtId="0" fontId="7" fillId="0" borderId="5" xfId="0" applyFont="1" applyBorder="1" applyAlignment="1">
      <alignment horizontal="center" vertical="center"/>
    </xf>
    <xf numFmtId="0" fontId="7" fillId="0" borderId="6" xfId="0" applyFont="1" applyBorder="1"/>
    <xf numFmtId="0" fontId="19" fillId="0" borderId="9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7" fillId="0" borderId="28" xfId="0" applyFont="1" applyBorder="1" applyAlignment="1">
      <alignment wrapText="1"/>
    </xf>
    <xf numFmtId="0" fontId="7" fillId="0" borderId="29" xfId="0" applyFont="1" applyBorder="1" applyAlignment="1">
      <alignment wrapText="1"/>
    </xf>
    <xf numFmtId="0" fontId="7" fillId="0" borderId="2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wrapText="1"/>
    </xf>
    <xf numFmtId="0" fontId="7" fillId="0" borderId="29" xfId="0" applyFont="1" applyBorder="1"/>
    <xf numFmtId="1" fontId="7" fillId="0" borderId="29" xfId="0" applyNumberFormat="1" applyFont="1" applyBorder="1" applyAlignment="1">
      <alignment horizontal="center"/>
    </xf>
    <xf numFmtId="164" fontId="7" fillId="0" borderId="30" xfId="0" applyNumberFormat="1" applyFont="1" applyBorder="1"/>
    <xf numFmtId="164" fontId="7" fillId="0" borderId="31" xfId="0" applyNumberFormat="1" applyFont="1" applyBorder="1"/>
    <xf numFmtId="0" fontId="20" fillId="0" borderId="14" xfId="3" applyFont="1" applyBorder="1" applyAlignment="1" applyProtection="1">
      <alignment horizontal="center"/>
      <protection locked="0"/>
    </xf>
    <xf numFmtId="0" fontId="20" fillId="0" borderId="14" xfId="2" applyFont="1" applyBorder="1" applyAlignment="1">
      <alignment horizontal="center" vertical="center"/>
    </xf>
    <xf numFmtId="0" fontId="20" fillId="2" borderId="14" xfId="3" applyFont="1" applyFill="1" applyBorder="1" applyAlignment="1" applyProtection="1">
      <alignment horizontal="center"/>
      <protection locked="0"/>
    </xf>
    <xf numFmtId="0" fontId="20" fillId="0" borderId="0" xfId="3" applyFont="1" applyAlignment="1">
      <alignment horizontal="center" vertical="center"/>
    </xf>
    <xf numFmtId="0" fontId="20" fillId="2" borderId="14" xfId="3" applyFont="1" applyFill="1" applyBorder="1" applyAlignment="1" applyProtection="1">
      <alignment horizontal="center" vertical="center"/>
      <protection locked="0"/>
    </xf>
    <xf numFmtId="0" fontId="20" fillId="2" borderId="33" xfId="3" applyFont="1" applyFill="1" applyBorder="1" applyAlignment="1" applyProtection="1">
      <alignment horizontal="center" vertical="center"/>
      <protection locked="0"/>
    </xf>
    <xf numFmtId="1" fontId="21" fillId="3" borderId="14" xfId="2" applyNumberFormat="1" applyFont="1" applyFill="1" applyBorder="1" applyAlignment="1">
      <alignment horizontal="center" vertical="center"/>
    </xf>
    <xf numFmtId="0" fontId="20" fillId="2" borderId="33" xfId="3" applyFont="1" applyFill="1" applyBorder="1" applyAlignment="1" applyProtection="1">
      <alignment horizontal="center"/>
      <protection locked="0"/>
    </xf>
    <xf numFmtId="0" fontId="20" fillId="0" borderId="0" xfId="3" applyFont="1" applyAlignment="1">
      <alignment horizontal="center"/>
    </xf>
    <xf numFmtId="0" fontId="18" fillId="0" borderId="36" xfId="0" applyFont="1" applyBorder="1" applyAlignment="1" applyProtection="1">
      <alignment horizontal="center"/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14" fillId="0" borderId="9" xfId="0" applyFont="1" applyBorder="1"/>
    <xf numFmtId="0" fontId="0" fillId="0" borderId="9" xfId="0" applyBorder="1"/>
    <xf numFmtId="0" fontId="0" fillId="0" borderId="12" xfId="0" applyBorder="1"/>
    <xf numFmtId="0" fontId="18" fillId="0" borderId="32" xfId="0" applyFont="1" applyBorder="1" applyAlignment="1" applyProtection="1">
      <alignment horizontal="center"/>
      <protection locked="0"/>
    </xf>
    <xf numFmtId="0" fontId="2" fillId="0" borderId="23" xfId="0" applyFont="1" applyBorder="1" applyAlignment="1" applyProtection="1">
      <alignment vertical="center"/>
      <protection locked="0"/>
    </xf>
    <xf numFmtId="0" fontId="2" fillId="0" borderId="34" xfId="0" applyFont="1" applyBorder="1" applyAlignment="1" applyProtection="1">
      <alignment vertical="center"/>
      <protection locked="0"/>
    </xf>
    <xf numFmtId="166" fontId="20" fillId="0" borderId="14" xfId="2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38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22" fillId="0" borderId="39" xfId="3" applyFont="1" applyBorder="1" applyAlignment="1" applyProtection="1">
      <alignment horizontal="center" vertical="center"/>
      <protection locked="0"/>
    </xf>
    <xf numFmtId="0" fontId="18" fillId="0" borderId="24" xfId="0" applyFont="1" applyBorder="1" applyAlignment="1">
      <alignment horizontal="center" vertical="center"/>
    </xf>
    <xf numFmtId="0" fontId="18" fillId="0" borderId="24" xfId="0" applyFont="1" applyBorder="1" applyAlignment="1">
      <alignment vertical="center"/>
    </xf>
    <xf numFmtId="0" fontId="18" fillId="0" borderId="40" xfId="0" applyFont="1" applyBorder="1" applyAlignment="1">
      <alignment vertical="center"/>
    </xf>
    <xf numFmtId="1" fontId="20" fillId="0" borderId="14" xfId="3" applyNumberFormat="1" applyFont="1" applyBorder="1" applyAlignment="1" applyProtection="1">
      <alignment horizontal="center" vertical="center"/>
      <protection locked="0"/>
    </xf>
    <xf numFmtId="0" fontId="20" fillId="0" borderId="37" xfId="3" applyFont="1" applyBorder="1" applyAlignment="1" applyProtection="1">
      <alignment horizontal="center"/>
      <protection locked="0"/>
    </xf>
    <xf numFmtId="0" fontId="20" fillId="0" borderId="37" xfId="2" applyFont="1" applyBorder="1" applyAlignment="1">
      <alignment horizontal="center" vertical="center"/>
    </xf>
    <xf numFmtId="1" fontId="20" fillId="0" borderId="37" xfId="3" applyNumberFormat="1" applyFont="1" applyBorder="1" applyAlignment="1" applyProtection="1">
      <alignment horizontal="center" vertical="center"/>
      <protection locked="0"/>
    </xf>
    <xf numFmtId="166" fontId="20" fillId="0" borderId="37" xfId="2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164" fontId="17" fillId="0" borderId="14" xfId="0" applyNumberFormat="1" applyFont="1" applyBorder="1"/>
    <xf numFmtId="0" fontId="17" fillId="0" borderId="14" xfId="0" applyFont="1" applyBorder="1" applyAlignment="1">
      <alignment horizontal="center"/>
    </xf>
    <xf numFmtId="0" fontId="16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16" fillId="0" borderId="14" xfId="2" applyFont="1" applyBorder="1" applyAlignment="1">
      <alignment horizontal="center" vertical="center"/>
    </xf>
    <xf numFmtId="1" fontId="16" fillId="0" borderId="14" xfId="3" applyNumberFormat="1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" fontId="20" fillId="2" borderId="14" xfId="2" applyNumberFormat="1" applyFont="1" applyFill="1" applyBorder="1" applyAlignment="1">
      <alignment horizontal="center" vertical="center"/>
    </xf>
    <xf numFmtId="0" fontId="0" fillId="0" borderId="48" xfId="0" applyBorder="1"/>
    <xf numFmtId="0" fontId="0" fillId="0" borderId="41" xfId="0" applyBorder="1"/>
    <xf numFmtId="0" fontId="0" fillId="0" borderId="41" xfId="0" applyBorder="1" applyAlignment="1">
      <alignment horizontal="center"/>
    </xf>
    <xf numFmtId="1" fontId="0" fillId="0" borderId="41" xfId="0" applyNumberFormat="1" applyBorder="1"/>
    <xf numFmtId="166" fontId="0" fillId="0" borderId="41" xfId="0" applyNumberFormat="1" applyBorder="1"/>
    <xf numFmtId="0" fontId="0" fillId="0" borderId="49" xfId="0" applyBorder="1"/>
    <xf numFmtId="0" fontId="20" fillId="0" borderId="14" xfId="3" applyFont="1" applyBorder="1" applyAlignment="1">
      <alignment horizontal="center" vertical="center"/>
    </xf>
    <xf numFmtId="166" fontId="21" fillId="3" borderId="14" xfId="2" applyNumberFormat="1" applyFont="1" applyFill="1" applyBorder="1" applyAlignment="1">
      <alignment horizontal="center" vertical="center"/>
    </xf>
    <xf numFmtId="0" fontId="22" fillId="0" borderId="42" xfId="3" applyFont="1" applyBorder="1" applyAlignment="1" applyProtection="1">
      <alignment horizontal="center" vertical="center"/>
      <protection locked="0"/>
    </xf>
    <xf numFmtId="0" fontId="22" fillId="0" borderId="43" xfId="3" applyFont="1" applyBorder="1" applyAlignment="1" applyProtection="1">
      <alignment horizontal="center" vertical="center"/>
      <protection locked="0"/>
    </xf>
    <xf numFmtId="0" fontId="20" fillId="0" borderId="43" xfId="3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0" fillId="2" borderId="45" xfId="3" applyFont="1" applyFill="1" applyBorder="1" applyAlignment="1">
      <alignment horizontal="center"/>
    </xf>
    <xf numFmtId="1" fontId="20" fillId="2" borderId="37" xfId="2" applyNumberFormat="1" applyFont="1" applyFill="1" applyBorder="1" applyAlignment="1">
      <alignment horizontal="center" vertical="center"/>
    </xf>
    <xf numFmtId="49" fontId="23" fillId="0" borderId="14" xfId="0" quotePrefix="1" applyNumberFormat="1" applyFont="1" applyBorder="1" applyAlignment="1" applyProtection="1">
      <alignment horizontal="center"/>
      <protection locked="0"/>
    </xf>
    <xf numFmtId="0" fontId="17" fillId="0" borderId="0" xfId="0" applyFont="1"/>
    <xf numFmtId="0" fontId="16" fillId="0" borderId="50" xfId="2" applyFont="1" applyBorder="1" applyAlignment="1">
      <alignment horizontal="center" vertical="center"/>
    </xf>
    <xf numFmtId="1" fontId="16" fillId="2" borderId="14" xfId="2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2" borderId="33" xfId="3" applyFont="1" applyFill="1" applyBorder="1" applyAlignment="1" applyProtection="1">
      <alignment horizontal="center" vertical="center"/>
      <protection locked="0"/>
    </xf>
    <xf numFmtId="0" fontId="20" fillId="2" borderId="14" xfId="3" applyFont="1" applyFill="1" applyBorder="1" applyAlignment="1" applyProtection="1">
      <alignment horizontal="center" vertical="center"/>
      <protection locked="0"/>
    </xf>
    <xf numFmtId="0" fontId="20" fillId="2" borderId="45" xfId="3" applyFont="1" applyFill="1" applyBorder="1" applyAlignment="1">
      <alignment horizontal="center"/>
    </xf>
    <xf numFmtId="0" fontId="10" fillId="0" borderId="15" xfId="3" applyFont="1" applyBorder="1" applyAlignment="1">
      <alignment horizontal="left" vertical="center"/>
    </xf>
    <xf numFmtId="0" fontId="10" fillId="0" borderId="17" xfId="3" applyFont="1" applyBorder="1" applyAlignment="1">
      <alignment horizontal="left" vertical="center"/>
    </xf>
    <xf numFmtId="0" fontId="10" fillId="0" borderId="27" xfId="3" applyFont="1" applyBorder="1" applyAlignment="1">
      <alignment horizontal="left" vertical="center"/>
    </xf>
    <xf numFmtId="0" fontId="11" fillId="0" borderId="21" xfId="3" applyFont="1" applyBorder="1" applyAlignment="1" applyProtection="1">
      <alignment horizontal="center"/>
      <protection locked="0"/>
    </xf>
    <xf numFmtId="0" fontId="11" fillId="0" borderId="11" xfId="3" applyFont="1" applyBorder="1" applyAlignment="1" applyProtection="1">
      <alignment horizontal="center"/>
      <protection locked="0"/>
    </xf>
    <xf numFmtId="0" fontId="10" fillId="0" borderId="9" xfId="3" applyFont="1" applyBorder="1" applyAlignment="1">
      <alignment horizontal="left" vertical="center"/>
    </xf>
    <xf numFmtId="0" fontId="10" fillId="0" borderId="0" xfId="3" applyFont="1" applyAlignment="1">
      <alignment horizontal="left" vertical="center"/>
    </xf>
    <xf numFmtId="0" fontId="10" fillId="0" borderId="26" xfId="3" applyFont="1" applyBorder="1" applyAlignment="1">
      <alignment horizontal="left" vertical="center"/>
    </xf>
    <xf numFmtId="165" fontId="6" fillId="0" borderId="10" xfId="0" applyNumberFormat="1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0" fontId="11" fillId="0" borderId="10" xfId="3" applyFont="1" applyBorder="1" applyAlignment="1" applyProtection="1">
      <alignment horizontal="center"/>
      <protection locked="0"/>
    </xf>
    <xf numFmtId="0" fontId="11" fillId="0" borderId="12" xfId="3" applyFont="1" applyBorder="1" applyAlignment="1" applyProtection="1">
      <alignment horizontal="center"/>
      <protection locked="0"/>
    </xf>
    <xf numFmtId="14" fontId="11" fillId="0" borderId="10" xfId="3" applyNumberFormat="1" applyFont="1" applyBorder="1" applyAlignment="1" applyProtection="1">
      <alignment horizontal="center"/>
      <protection locked="0"/>
    </xf>
    <xf numFmtId="14" fontId="11" fillId="0" borderId="12" xfId="3" applyNumberFormat="1" applyFont="1" applyBorder="1" applyAlignment="1" applyProtection="1">
      <alignment horizontal="center"/>
      <protection locked="0"/>
    </xf>
    <xf numFmtId="0" fontId="10" fillId="0" borderId="16" xfId="3" applyFont="1" applyBorder="1" applyAlignment="1">
      <alignment horizontal="left" vertical="center"/>
    </xf>
    <xf numFmtId="0" fontId="10" fillId="0" borderId="35" xfId="3" applyFont="1" applyBorder="1" applyAlignment="1">
      <alignment horizontal="left" vertical="center"/>
    </xf>
    <xf numFmtId="0" fontId="10" fillId="0" borderId="25" xfId="3" applyFont="1" applyBorder="1" applyAlignment="1">
      <alignment horizontal="left" vertical="center"/>
    </xf>
    <xf numFmtId="0" fontId="11" fillId="0" borderId="22" xfId="3" applyFont="1" applyBorder="1" applyAlignment="1" applyProtection="1">
      <alignment horizontal="center"/>
      <protection locked="0"/>
    </xf>
    <xf numFmtId="0" fontId="11" fillId="0" borderId="13" xfId="3" applyFont="1" applyBorder="1" applyAlignment="1" applyProtection="1">
      <alignment horizontal="center"/>
      <protection locked="0"/>
    </xf>
    <xf numFmtId="0" fontId="12" fillId="0" borderId="9" xfId="3" applyFont="1" applyBorder="1" applyAlignment="1" applyProtection="1">
      <alignment horizontal="center" vertical="center"/>
      <protection locked="0"/>
    </xf>
    <xf numFmtId="0" fontId="12" fillId="0" borderId="0" xfId="3" applyFont="1" applyAlignment="1" applyProtection="1">
      <alignment horizontal="center" vertical="center"/>
      <protection locked="0"/>
    </xf>
    <xf numFmtId="0" fontId="12" fillId="0" borderId="12" xfId="3" applyFont="1" applyBorder="1" applyAlignment="1" applyProtection="1">
      <alignment horizontal="center" vertical="center"/>
      <protection locked="0"/>
    </xf>
    <xf numFmtId="166" fontId="20" fillId="0" borderId="14" xfId="2" applyNumberFormat="1" applyFont="1" applyBorder="1" applyAlignment="1">
      <alignment horizontal="center" vertical="center"/>
    </xf>
    <xf numFmtId="166" fontId="20" fillId="0" borderId="37" xfId="2" applyNumberFormat="1" applyFont="1" applyBorder="1" applyAlignment="1">
      <alignment horizontal="center" vertical="center"/>
    </xf>
    <xf numFmtId="0" fontId="20" fillId="2" borderId="46" xfId="3" applyFont="1" applyFill="1" applyBorder="1" applyAlignment="1" applyProtection="1">
      <alignment horizontal="center" vertical="center"/>
      <protection locked="0"/>
    </xf>
    <xf numFmtId="0" fontId="20" fillId="2" borderId="37" xfId="3" applyFont="1" applyFill="1" applyBorder="1" applyAlignment="1" applyProtection="1">
      <alignment horizontal="center" vertical="center"/>
      <protection locked="0"/>
    </xf>
    <xf numFmtId="0" fontId="20" fillId="2" borderId="47" xfId="3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0" xfId="0" applyFont="1"/>
    <xf numFmtId="1" fontId="0" fillId="0" borderId="0" xfId="0" applyNumberFormat="1"/>
  </cellXfs>
  <cellStyles count="5">
    <cellStyle name="Normal" xfId="0" builtinId="0"/>
    <cellStyle name="Normal 2" xfId="1" xr:uid="{63187D94-9FC8-4E59-B5A3-2106FC9A3293}"/>
    <cellStyle name="Normal 23" xfId="2" xr:uid="{C94BAAEC-747F-484D-8242-742599E8B1FC}"/>
    <cellStyle name="Normal 5" xfId="4" xr:uid="{E432DAC4-C3BD-4837-8D74-6E3E9BA8C03E}"/>
    <cellStyle name="Normal_PO03871-SEA-TCW5551" xfId="3" xr:uid="{763B3143-DF16-4CB4-918A-ADFA9E2D38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konvi/Downloads/INV_331%20Tentree%20International%20-%20PO%2004477%20-%20GAR%20-%20CANADA%20FINAL.xls" TargetMode="External"/><Relationship Id="rId1" Type="http://schemas.openxmlformats.org/officeDocument/2006/relationships/externalLinkPath" Target="/Users/konvi/Downloads/INV_331%20Tentree%20International%20-%20PO%2004477%20-%20GAR%20-%20CANADA%20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V"/>
      <sheetName val="PO04477 air "/>
    </sheetNames>
    <sheetDataSet>
      <sheetData sheetId="0" refreshError="1">
        <row r="3">
          <cell r="I3" t="str">
            <v>DT. 08.07.2025</v>
          </cell>
        </row>
        <row r="12">
          <cell r="D12" t="str">
            <v>Tentree International Inc</v>
          </cell>
        </row>
        <row r="13">
          <cell r="D13" t="str">
            <v>1275 Venables St, Unit 230</v>
          </cell>
        </row>
        <row r="14">
          <cell r="D14" t="str">
            <v>Vancouver BC</v>
          </cell>
        </row>
        <row r="15">
          <cell r="D15" t="str">
            <v>V6A 2E4 Canada</v>
          </cell>
        </row>
        <row r="16">
          <cell r="D16" t="str">
            <v>Phone - +1 604-829-2706</v>
          </cell>
        </row>
        <row r="17">
          <cell r="D17" t="str">
            <v>logistics@tentree.com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8CC0-47B5-4A29-AB77-E2360C49655F}">
  <dimension ref="A1:M971"/>
  <sheetViews>
    <sheetView topLeftCell="A70" zoomScaleNormal="100" workbookViewId="0">
      <selection activeCell="A83" sqref="A83"/>
    </sheetView>
  </sheetViews>
  <sheetFormatPr defaultColWidth="12.54296875" defaultRowHeight="13"/>
  <cols>
    <col min="1" max="1" width="16.1796875" style="31" customWidth="1"/>
    <col min="2" max="2" width="20.453125" style="31" customWidth="1"/>
    <col min="3" max="3" width="16.1796875" style="31" customWidth="1"/>
    <col min="4" max="4" width="16.1796875" style="33" customWidth="1"/>
    <col min="5" max="5" width="38.81640625" style="40" customWidth="1"/>
    <col min="6" max="6" width="31.453125" style="33" customWidth="1"/>
    <col min="7" max="7" width="9.1796875" style="40" customWidth="1"/>
    <col min="8" max="8" width="8.453125" style="40" customWidth="1"/>
    <col min="9" max="9" width="51.1796875" style="31" customWidth="1"/>
    <col min="10" max="10" width="16.1796875" style="40" customWidth="1"/>
    <col min="11" max="11" width="10.453125" style="31" customWidth="1"/>
    <col min="12" max="12" width="10.26953125" style="31" customWidth="1"/>
    <col min="13" max="13" width="16.1796875" style="31" customWidth="1"/>
    <col min="14" max="14" width="8.81640625" style="31" customWidth="1"/>
    <col min="15" max="26" width="8.54296875" style="31" customWidth="1"/>
    <col min="27" max="16384" width="12.54296875" style="31"/>
  </cols>
  <sheetData>
    <row r="1" spans="1:13" ht="26.25" customHeight="1">
      <c r="A1" s="1" t="s">
        <v>32</v>
      </c>
      <c r="B1" s="26"/>
      <c r="C1" s="26"/>
      <c r="D1" s="27"/>
      <c r="E1" s="27"/>
      <c r="F1" s="27"/>
      <c r="G1" s="27"/>
      <c r="H1" s="27"/>
      <c r="I1" s="28"/>
      <c r="J1" s="29"/>
      <c r="K1" s="28"/>
      <c r="L1" s="28"/>
      <c r="M1" s="30"/>
    </row>
    <row r="2" spans="1:13" ht="14.25" customHeight="1">
      <c r="A2" s="74" t="s">
        <v>54</v>
      </c>
      <c r="B2" s="32"/>
      <c r="C2" s="32"/>
      <c r="E2" s="33"/>
      <c r="G2" s="33"/>
      <c r="H2" s="33"/>
      <c r="I2" s="34" t="s">
        <v>0</v>
      </c>
      <c r="J2" s="124" t="s">
        <v>134</v>
      </c>
      <c r="K2" s="35"/>
      <c r="L2" s="26"/>
      <c r="M2" s="36"/>
    </row>
    <row r="3" spans="1:13" ht="14.25" customHeight="1">
      <c r="A3" s="75" t="s">
        <v>55</v>
      </c>
      <c r="B3" s="26"/>
      <c r="C3" s="26"/>
      <c r="D3" s="27"/>
      <c r="E3" s="27"/>
      <c r="F3" s="27"/>
      <c r="G3" s="27"/>
      <c r="H3" s="27"/>
      <c r="I3" s="26" t="s">
        <v>1</v>
      </c>
      <c r="J3" s="27" t="s">
        <v>140</v>
      </c>
      <c r="M3" s="37"/>
    </row>
    <row r="4" spans="1:13" ht="14.25" customHeight="1">
      <c r="A4" s="75" t="s">
        <v>56</v>
      </c>
      <c r="C4" s="27"/>
      <c r="D4" s="27"/>
      <c r="E4" s="27"/>
      <c r="F4" s="27"/>
      <c r="G4" s="27"/>
      <c r="H4" s="27"/>
      <c r="I4" s="26" t="s">
        <v>2</v>
      </c>
      <c r="J4" s="38">
        <v>46155</v>
      </c>
      <c r="K4" s="39"/>
      <c r="M4" s="37"/>
    </row>
    <row r="5" spans="1:13" ht="14.25" customHeight="1">
      <c r="M5" s="37"/>
    </row>
    <row r="6" spans="1:13" ht="14.25" customHeight="1">
      <c r="A6" s="41"/>
      <c r="I6" s="34" t="s">
        <v>3</v>
      </c>
      <c r="J6" s="40" t="s">
        <v>51</v>
      </c>
      <c r="M6" s="37"/>
    </row>
    <row r="7" spans="1:13" ht="14.25" customHeight="1">
      <c r="A7" s="42"/>
      <c r="I7" s="34" t="s">
        <v>4</v>
      </c>
      <c r="M7" s="37"/>
    </row>
    <row r="8" spans="1:13" ht="14.25" customHeight="1">
      <c r="A8" s="43"/>
      <c r="I8" s="34" t="s">
        <v>5</v>
      </c>
      <c r="M8" s="37"/>
    </row>
    <row r="9" spans="1:13" ht="14.25" customHeight="1">
      <c r="A9" s="43"/>
      <c r="I9" s="34" t="s">
        <v>6</v>
      </c>
      <c r="J9" s="40" t="s">
        <v>133</v>
      </c>
      <c r="M9" s="37"/>
    </row>
    <row r="10" spans="1:13" ht="14.25" customHeight="1">
      <c r="A10" s="43"/>
      <c r="I10" s="34" t="s">
        <v>7</v>
      </c>
      <c r="J10" s="40" t="s">
        <v>52</v>
      </c>
      <c r="M10" s="37"/>
    </row>
    <row r="11" spans="1:13" ht="14.25" customHeight="1">
      <c r="A11" s="41"/>
      <c r="I11" s="34" t="s">
        <v>8</v>
      </c>
      <c r="M11" s="37"/>
    </row>
    <row r="12" spans="1:13" ht="14.25" customHeight="1">
      <c r="A12" s="177" t="s">
        <v>9</v>
      </c>
      <c r="B12" s="178"/>
      <c r="C12" s="178"/>
      <c r="D12" s="178"/>
      <c r="E12" s="178"/>
      <c r="F12" s="178"/>
      <c r="G12" s="178"/>
      <c r="H12" s="178"/>
      <c r="I12" s="26" t="s">
        <v>10</v>
      </c>
      <c r="J12" s="44" t="s">
        <v>33</v>
      </c>
      <c r="M12" s="37"/>
    </row>
    <row r="13" spans="1:13" ht="14.25" customHeight="1">
      <c r="A13" s="46" t="s">
        <v>11</v>
      </c>
      <c r="B13" s="45"/>
      <c r="C13" s="45"/>
      <c r="D13" s="44"/>
      <c r="E13" s="44"/>
      <c r="F13" s="44"/>
      <c r="G13" s="44"/>
      <c r="H13" s="44"/>
      <c r="I13" s="34"/>
      <c r="M13" s="37"/>
    </row>
    <row r="14" spans="1:13" ht="14.25" customHeight="1">
      <c r="A14" s="47" t="s">
        <v>136</v>
      </c>
      <c r="E14" s="27" t="s">
        <v>12</v>
      </c>
      <c r="I14" s="34"/>
      <c r="M14" s="37"/>
    </row>
    <row r="15" spans="1:13" ht="16.5" customHeight="1">
      <c r="A15" s="47" t="s">
        <v>47</v>
      </c>
      <c r="E15" s="33" t="s">
        <v>13</v>
      </c>
      <c r="I15" s="34"/>
      <c r="M15" s="37"/>
    </row>
    <row r="16" spans="1:13" ht="14.25" customHeight="1">
      <c r="A16" s="47" t="s">
        <v>48</v>
      </c>
      <c r="E16" s="33" t="s">
        <v>14</v>
      </c>
      <c r="I16" s="34"/>
      <c r="M16" s="37"/>
    </row>
    <row r="17" spans="1:13" ht="14.25" customHeight="1">
      <c r="A17" s="47" t="s">
        <v>49</v>
      </c>
      <c r="E17" s="33" t="s">
        <v>15</v>
      </c>
      <c r="I17" s="34"/>
      <c r="M17" s="37"/>
    </row>
    <row r="18" spans="1:13" ht="14.25" customHeight="1">
      <c r="A18" s="47" t="s">
        <v>50</v>
      </c>
      <c r="E18" s="33" t="s">
        <v>16</v>
      </c>
      <c r="I18" s="34"/>
      <c r="M18" s="37"/>
    </row>
    <row r="19" spans="1:13" ht="14.25" customHeight="1">
      <c r="M19" s="36"/>
    </row>
    <row r="20" spans="1:13" ht="14.25" customHeight="1" thickBot="1">
      <c r="A20" s="48"/>
      <c r="M20" s="36"/>
    </row>
    <row r="21" spans="1:13" ht="28.5" customHeight="1" thickBot="1">
      <c r="A21" s="114" t="s">
        <v>17</v>
      </c>
      <c r="B21" s="115" t="s">
        <v>18</v>
      </c>
      <c r="C21" s="115" t="s">
        <v>19</v>
      </c>
      <c r="D21" s="115" t="s">
        <v>53</v>
      </c>
      <c r="E21" s="115" t="s">
        <v>20</v>
      </c>
      <c r="F21" s="115" t="s">
        <v>21</v>
      </c>
      <c r="G21" s="115" t="s">
        <v>22</v>
      </c>
      <c r="H21" s="115" t="s">
        <v>23</v>
      </c>
      <c r="I21" s="115" t="s">
        <v>24</v>
      </c>
      <c r="J21" s="115" t="s">
        <v>25</v>
      </c>
      <c r="K21" s="115" t="s">
        <v>26</v>
      </c>
      <c r="L21" s="115" t="s">
        <v>27</v>
      </c>
      <c r="M21" s="116" t="s">
        <v>28</v>
      </c>
    </row>
    <row r="22" spans="1:13" s="143" customFormat="1" ht="14.25" customHeight="1">
      <c r="A22" s="142" t="s">
        <v>134</v>
      </c>
      <c r="B22" s="121" t="s">
        <v>63</v>
      </c>
      <c r="C22" s="122" t="s">
        <v>64</v>
      </c>
      <c r="D22" s="25" t="s">
        <v>137</v>
      </c>
      <c r="E22" s="144" t="s">
        <v>60</v>
      </c>
      <c r="F22" s="121" t="s">
        <v>65</v>
      </c>
      <c r="G22" s="118" t="s">
        <v>138</v>
      </c>
      <c r="H22" s="118" t="s">
        <v>58</v>
      </c>
      <c r="I22" s="119" t="s">
        <v>139</v>
      </c>
      <c r="J22" s="120">
        <v>62043200</v>
      </c>
      <c r="K22" s="145">
        <v>12</v>
      </c>
      <c r="L22" s="117">
        <v>29.74</v>
      </c>
      <c r="M22" s="117">
        <f t="shared" ref="M22:M40" si="0">SUM(K22*L22)</f>
        <v>356.88</v>
      </c>
    </row>
    <row r="23" spans="1:13" s="143" customFormat="1" ht="14.25" customHeight="1">
      <c r="A23" s="142" t="s">
        <v>134</v>
      </c>
      <c r="B23" s="121" t="s">
        <v>63</v>
      </c>
      <c r="C23" s="122" t="s">
        <v>64</v>
      </c>
      <c r="D23" s="25" t="s">
        <v>137</v>
      </c>
      <c r="E23" s="144" t="s">
        <v>60</v>
      </c>
      <c r="F23" s="121" t="s">
        <v>65</v>
      </c>
      <c r="G23" s="118" t="s">
        <v>138</v>
      </c>
      <c r="H23" s="118" t="s">
        <v>58</v>
      </c>
      <c r="I23" s="119" t="s">
        <v>139</v>
      </c>
      <c r="J23" s="120">
        <v>62043200</v>
      </c>
      <c r="K23" s="145">
        <v>11</v>
      </c>
      <c r="L23" s="117">
        <v>29.74</v>
      </c>
      <c r="M23" s="117">
        <f t="shared" si="0"/>
        <v>327.14</v>
      </c>
    </row>
    <row r="24" spans="1:13" s="143" customFormat="1" ht="14.25" customHeight="1">
      <c r="A24" s="142" t="s">
        <v>134</v>
      </c>
      <c r="B24" s="121" t="s">
        <v>68</v>
      </c>
      <c r="C24" s="122" t="s">
        <v>69</v>
      </c>
      <c r="D24" s="25" t="s">
        <v>137</v>
      </c>
      <c r="E24" s="144" t="s">
        <v>60</v>
      </c>
      <c r="F24" s="121" t="s">
        <v>65</v>
      </c>
      <c r="G24" s="118" t="s">
        <v>138</v>
      </c>
      <c r="H24" s="118" t="s">
        <v>58</v>
      </c>
      <c r="I24" s="119" t="s">
        <v>139</v>
      </c>
      <c r="J24" s="120">
        <v>62043200</v>
      </c>
      <c r="K24" s="145">
        <v>60</v>
      </c>
      <c r="L24" s="117">
        <v>29.74</v>
      </c>
      <c r="M24" s="117">
        <f t="shared" si="0"/>
        <v>1784.3999999999999</v>
      </c>
    </row>
    <row r="25" spans="1:13" s="143" customFormat="1" ht="14.25" customHeight="1">
      <c r="A25" s="142" t="s">
        <v>134</v>
      </c>
      <c r="B25" s="121" t="s">
        <v>70</v>
      </c>
      <c r="C25" s="122" t="s">
        <v>71</v>
      </c>
      <c r="D25" s="25" t="s">
        <v>137</v>
      </c>
      <c r="E25" s="144" t="s">
        <v>60</v>
      </c>
      <c r="F25" s="121" t="s">
        <v>65</v>
      </c>
      <c r="G25" s="118" t="s">
        <v>138</v>
      </c>
      <c r="H25" s="118" t="s">
        <v>58</v>
      </c>
      <c r="I25" s="119" t="s">
        <v>139</v>
      </c>
      <c r="J25" s="120">
        <v>62043200</v>
      </c>
      <c r="K25" s="145">
        <v>72</v>
      </c>
      <c r="L25" s="117">
        <v>29.74</v>
      </c>
      <c r="M25" s="117">
        <f t="shared" si="0"/>
        <v>2141.2799999999997</v>
      </c>
    </row>
    <row r="26" spans="1:13" s="143" customFormat="1" ht="14.25" customHeight="1">
      <c r="A26" s="142" t="s">
        <v>134</v>
      </c>
      <c r="B26" s="121" t="s">
        <v>70</v>
      </c>
      <c r="C26" s="122" t="s">
        <v>71</v>
      </c>
      <c r="D26" s="25" t="s">
        <v>137</v>
      </c>
      <c r="E26" s="144" t="s">
        <v>60</v>
      </c>
      <c r="F26" s="121" t="s">
        <v>65</v>
      </c>
      <c r="G26" s="118" t="s">
        <v>138</v>
      </c>
      <c r="H26" s="118" t="s">
        <v>58</v>
      </c>
      <c r="I26" s="119" t="s">
        <v>139</v>
      </c>
      <c r="J26" s="120">
        <v>62043200</v>
      </c>
      <c r="K26" s="145">
        <v>12</v>
      </c>
      <c r="L26" s="117">
        <v>29.74</v>
      </c>
      <c r="M26" s="117">
        <f t="shared" si="0"/>
        <v>356.88</v>
      </c>
    </row>
    <row r="27" spans="1:13" s="143" customFormat="1" ht="14.25" customHeight="1">
      <c r="A27" s="142" t="s">
        <v>134</v>
      </c>
      <c r="B27" s="121" t="s">
        <v>66</v>
      </c>
      <c r="C27" s="122" t="s">
        <v>67</v>
      </c>
      <c r="D27" s="25" t="s">
        <v>137</v>
      </c>
      <c r="E27" s="144" t="s">
        <v>60</v>
      </c>
      <c r="F27" s="121" t="s">
        <v>65</v>
      </c>
      <c r="G27" s="118" t="s">
        <v>138</v>
      </c>
      <c r="H27" s="118" t="s">
        <v>58</v>
      </c>
      <c r="I27" s="119" t="s">
        <v>139</v>
      </c>
      <c r="J27" s="120">
        <v>62043200</v>
      </c>
      <c r="K27" s="145">
        <v>36</v>
      </c>
      <c r="L27" s="117">
        <v>29.74</v>
      </c>
      <c r="M27" s="117">
        <f t="shared" si="0"/>
        <v>1070.6399999999999</v>
      </c>
    </row>
    <row r="28" spans="1:13" s="143" customFormat="1" ht="14.25" customHeight="1">
      <c r="A28" s="142" t="s">
        <v>134</v>
      </c>
      <c r="B28" s="121" t="s">
        <v>66</v>
      </c>
      <c r="C28" s="122" t="s">
        <v>67</v>
      </c>
      <c r="D28" s="25" t="s">
        <v>137</v>
      </c>
      <c r="E28" s="144" t="s">
        <v>60</v>
      </c>
      <c r="F28" s="121" t="s">
        <v>65</v>
      </c>
      <c r="G28" s="118" t="s">
        <v>138</v>
      </c>
      <c r="H28" s="118" t="s">
        <v>58</v>
      </c>
      <c r="I28" s="119" t="s">
        <v>139</v>
      </c>
      <c r="J28" s="120">
        <v>62043200</v>
      </c>
      <c r="K28" s="145">
        <v>10</v>
      </c>
      <c r="L28" s="117">
        <v>29.74</v>
      </c>
      <c r="M28" s="117">
        <f t="shared" si="0"/>
        <v>297.39999999999998</v>
      </c>
    </row>
    <row r="29" spans="1:13" s="143" customFormat="1" ht="14.25" customHeight="1">
      <c r="A29" s="142" t="s">
        <v>134</v>
      </c>
      <c r="B29" s="121" t="s">
        <v>72</v>
      </c>
      <c r="C29" s="122" t="s">
        <v>73</v>
      </c>
      <c r="D29" s="25" t="s">
        <v>137</v>
      </c>
      <c r="E29" s="144" t="s">
        <v>60</v>
      </c>
      <c r="F29" s="121" t="s">
        <v>65</v>
      </c>
      <c r="G29" s="118" t="s">
        <v>138</v>
      </c>
      <c r="H29" s="118" t="s">
        <v>58</v>
      </c>
      <c r="I29" s="119" t="s">
        <v>139</v>
      </c>
      <c r="J29" s="120">
        <v>62043200</v>
      </c>
      <c r="K29" s="145">
        <v>20</v>
      </c>
      <c r="L29" s="117">
        <v>29.74</v>
      </c>
      <c r="M29" s="117">
        <f t="shared" si="0"/>
        <v>594.79999999999995</v>
      </c>
    </row>
    <row r="30" spans="1:13" s="143" customFormat="1" ht="14.25" customHeight="1">
      <c r="A30" s="142" t="s">
        <v>134</v>
      </c>
      <c r="B30" s="121" t="s">
        <v>70</v>
      </c>
      <c r="C30" s="122" t="s">
        <v>71</v>
      </c>
      <c r="D30" s="25" t="s">
        <v>137</v>
      </c>
      <c r="E30" s="144" t="s">
        <v>60</v>
      </c>
      <c r="F30" s="121" t="s">
        <v>65</v>
      </c>
      <c r="G30" s="118" t="s">
        <v>138</v>
      </c>
      <c r="H30" s="118" t="s">
        <v>58</v>
      </c>
      <c r="I30" s="119" t="s">
        <v>139</v>
      </c>
      <c r="J30" s="120">
        <v>62043200</v>
      </c>
      <c r="K30" s="145">
        <v>5</v>
      </c>
      <c r="L30" s="117">
        <v>29.74</v>
      </c>
      <c r="M30" s="117">
        <f t="shared" si="0"/>
        <v>148.69999999999999</v>
      </c>
    </row>
    <row r="31" spans="1:13" s="143" customFormat="1" ht="14.25" customHeight="1">
      <c r="A31" s="142" t="s">
        <v>134</v>
      </c>
      <c r="B31" s="121" t="s">
        <v>72</v>
      </c>
      <c r="C31" s="122" t="s">
        <v>73</v>
      </c>
      <c r="D31" s="25" t="s">
        <v>137</v>
      </c>
      <c r="E31" s="144" t="s">
        <v>60</v>
      </c>
      <c r="F31" s="121" t="s">
        <v>65</v>
      </c>
      <c r="G31" s="118" t="s">
        <v>138</v>
      </c>
      <c r="H31" s="118" t="s">
        <v>58</v>
      </c>
      <c r="I31" s="119" t="s">
        <v>139</v>
      </c>
      <c r="J31" s="120">
        <v>62043200</v>
      </c>
      <c r="K31" s="145">
        <v>6</v>
      </c>
      <c r="L31" s="117">
        <v>29.74</v>
      </c>
      <c r="M31" s="117">
        <f t="shared" si="0"/>
        <v>178.44</v>
      </c>
    </row>
    <row r="32" spans="1:13" s="143" customFormat="1" ht="14.25" customHeight="1">
      <c r="A32" s="142" t="s">
        <v>134</v>
      </c>
      <c r="B32" s="121" t="s">
        <v>74</v>
      </c>
      <c r="C32" s="122" t="s">
        <v>75</v>
      </c>
      <c r="D32" s="25" t="s">
        <v>137</v>
      </c>
      <c r="E32" s="144" t="s">
        <v>76</v>
      </c>
      <c r="F32" s="121" t="s">
        <v>77</v>
      </c>
      <c r="G32" s="118" t="s">
        <v>138</v>
      </c>
      <c r="H32" s="118" t="s">
        <v>58</v>
      </c>
      <c r="I32" s="119" t="s">
        <v>139</v>
      </c>
      <c r="J32" s="120">
        <v>62043200</v>
      </c>
      <c r="K32" s="145">
        <v>12</v>
      </c>
      <c r="L32" s="117">
        <v>30.6</v>
      </c>
      <c r="M32" s="117">
        <f t="shared" si="0"/>
        <v>367.20000000000005</v>
      </c>
    </row>
    <row r="33" spans="1:13" s="143" customFormat="1" ht="14.25" customHeight="1">
      <c r="A33" s="142" t="s">
        <v>134</v>
      </c>
      <c r="B33" s="121" t="s">
        <v>82</v>
      </c>
      <c r="C33" s="122" t="s">
        <v>83</v>
      </c>
      <c r="D33" s="25" t="s">
        <v>137</v>
      </c>
      <c r="E33" s="144" t="s">
        <v>76</v>
      </c>
      <c r="F33" s="121" t="s">
        <v>77</v>
      </c>
      <c r="G33" s="118" t="s">
        <v>138</v>
      </c>
      <c r="H33" s="118" t="s">
        <v>58</v>
      </c>
      <c r="I33" s="119" t="s">
        <v>139</v>
      </c>
      <c r="J33" s="120">
        <v>62043200</v>
      </c>
      <c r="K33" s="145">
        <v>60</v>
      </c>
      <c r="L33" s="117">
        <v>30.6</v>
      </c>
      <c r="M33" s="117">
        <f t="shared" si="0"/>
        <v>1836</v>
      </c>
    </row>
    <row r="34" spans="1:13" s="143" customFormat="1" ht="14.25" customHeight="1">
      <c r="A34" s="142" t="s">
        <v>134</v>
      </c>
      <c r="B34" s="121" t="s">
        <v>84</v>
      </c>
      <c r="C34" s="122" t="s">
        <v>85</v>
      </c>
      <c r="D34" s="25" t="s">
        <v>137</v>
      </c>
      <c r="E34" s="144" t="s">
        <v>76</v>
      </c>
      <c r="F34" s="121" t="s">
        <v>77</v>
      </c>
      <c r="G34" s="118" t="s">
        <v>138</v>
      </c>
      <c r="H34" s="118" t="s">
        <v>58</v>
      </c>
      <c r="I34" s="119" t="s">
        <v>139</v>
      </c>
      <c r="J34" s="120">
        <v>62043200</v>
      </c>
      <c r="K34" s="145">
        <v>84</v>
      </c>
      <c r="L34" s="117">
        <v>30.6</v>
      </c>
      <c r="M34" s="117">
        <f t="shared" si="0"/>
        <v>2570.4</v>
      </c>
    </row>
    <row r="35" spans="1:13" s="143" customFormat="1" ht="14.25" customHeight="1">
      <c r="A35" s="142" t="s">
        <v>134</v>
      </c>
      <c r="B35" s="121" t="s">
        <v>84</v>
      </c>
      <c r="C35" s="122" t="s">
        <v>85</v>
      </c>
      <c r="D35" s="25" t="s">
        <v>137</v>
      </c>
      <c r="E35" s="144" t="s">
        <v>76</v>
      </c>
      <c r="F35" s="121" t="s">
        <v>77</v>
      </c>
      <c r="G35" s="118" t="s">
        <v>138</v>
      </c>
      <c r="H35" s="118" t="s">
        <v>58</v>
      </c>
      <c r="I35" s="119" t="s">
        <v>139</v>
      </c>
      <c r="J35" s="120">
        <v>62043200</v>
      </c>
      <c r="K35" s="145">
        <v>13</v>
      </c>
      <c r="L35" s="117">
        <v>30.6</v>
      </c>
      <c r="M35" s="117">
        <f t="shared" si="0"/>
        <v>397.8</v>
      </c>
    </row>
    <row r="36" spans="1:13" s="143" customFormat="1" ht="14.25" customHeight="1">
      <c r="A36" s="142" t="s">
        <v>134</v>
      </c>
      <c r="B36" s="121" t="s">
        <v>78</v>
      </c>
      <c r="C36" s="122" t="s">
        <v>79</v>
      </c>
      <c r="D36" s="25" t="s">
        <v>137</v>
      </c>
      <c r="E36" s="144" t="s">
        <v>76</v>
      </c>
      <c r="F36" s="121" t="s">
        <v>77</v>
      </c>
      <c r="G36" s="118" t="s">
        <v>138</v>
      </c>
      <c r="H36" s="118" t="s">
        <v>58</v>
      </c>
      <c r="I36" s="119" t="s">
        <v>139</v>
      </c>
      <c r="J36" s="120">
        <v>62043200</v>
      </c>
      <c r="K36" s="145">
        <v>60</v>
      </c>
      <c r="L36" s="117">
        <v>30.6</v>
      </c>
      <c r="M36" s="117">
        <f t="shared" si="0"/>
        <v>1836</v>
      </c>
    </row>
    <row r="37" spans="1:13" s="143" customFormat="1" ht="14.25" customHeight="1">
      <c r="A37" s="142" t="s">
        <v>134</v>
      </c>
      <c r="B37" s="121" t="s">
        <v>80</v>
      </c>
      <c r="C37" s="122" t="s">
        <v>81</v>
      </c>
      <c r="D37" s="25" t="s">
        <v>137</v>
      </c>
      <c r="E37" s="144" t="s">
        <v>76</v>
      </c>
      <c r="F37" s="121" t="s">
        <v>77</v>
      </c>
      <c r="G37" s="118" t="s">
        <v>138</v>
      </c>
      <c r="H37" s="118" t="s">
        <v>58</v>
      </c>
      <c r="I37" s="119" t="s">
        <v>139</v>
      </c>
      <c r="J37" s="120">
        <v>62043200</v>
      </c>
      <c r="K37" s="145">
        <v>24</v>
      </c>
      <c r="L37" s="117">
        <v>30.6</v>
      </c>
      <c r="M37" s="117">
        <f t="shared" si="0"/>
        <v>734.40000000000009</v>
      </c>
    </row>
    <row r="38" spans="1:13" s="143" customFormat="1" ht="14.25" customHeight="1">
      <c r="A38" s="142" t="s">
        <v>134</v>
      </c>
      <c r="B38" s="121" t="s">
        <v>74</v>
      </c>
      <c r="C38" s="122" t="s">
        <v>75</v>
      </c>
      <c r="D38" s="25" t="s">
        <v>137</v>
      </c>
      <c r="E38" s="144" t="s">
        <v>76</v>
      </c>
      <c r="F38" s="121" t="s">
        <v>77</v>
      </c>
      <c r="G38" s="118" t="s">
        <v>138</v>
      </c>
      <c r="H38" s="118" t="s">
        <v>58</v>
      </c>
      <c r="I38" s="119" t="s">
        <v>139</v>
      </c>
      <c r="J38" s="120">
        <v>62043200</v>
      </c>
      <c r="K38" s="145">
        <v>7</v>
      </c>
      <c r="L38" s="117">
        <v>30.6</v>
      </c>
      <c r="M38" s="117">
        <f t="shared" si="0"/>
        <v>214.20000000000002</v>
      </c>
    </row>
    <row r="39" spans="1:13" s="143" customFormat="1" ht="14.25" customHeight="1">
      <c r="A39" s="142" t="s">
        <v>134</v>
      </c>
      <c r="B39" s="121" t="s">
        <v>82</v>
      </c>
      <c r="C39" s="122" t="s">
        <v>83</v>
      </c>
      <c r="D39" s="25" t="s">
        <v>137</v>
      </c>
      <c r="E39" s="144" t="s">
        <v>76</v>
      </c>
      <c r="F39" s="121" t="s">
        <v>77</v>
      </c>
      <c r="G39" s="118" t="s">
        <v>138</v>
      </c>
      <c r="H39" s="118" t="s">
        <v>58</v>
      </c>
      <c r="I39" s="119" t="s">
        <v>139</v>
      </c>
      <c r="J39" s="120">
        <v>62043200</v>
      </c>
      <c r="K39" s="145">
        <v>7</v>
      </c>
      <c r="L39" s="117">
        <v>30.6</v>
      </c>
      <c r="M39" s="117">
        <f t="shared" si="0"/>
        <v>214.20000000000002</v>
      </c>
    </row>
    <row r="40" spans="1:13" s="143" customFormat="1" ht="14.25" customHeight="1">
      <c r="A40" s="142" t="s">
        <v>134</v>
      </c>
      <c r="B40" s="121" t="s">
        <v>78</v>
      </c>
      <c r="C40" s="122" t="s">
        <v>79</v>
      </c>
      <c r="D40" s="25" t="s">
        <v>137</v>
      </c>
      <c r="E40" s="144" t="s">
        <v>76</v>
      </c>
      <c r="F40" s="121" t="s">
        <v>77</v>
      </c>
      <c r="G40" s="118" t="s">
        <v>138</v>
      </c>
      <c r="H40" s="118" t="s">
        <v>58</v>
      </c>
      <c r="I40" s="119" t="s">
        <v>139</v>
      </c>
      <c r="J40" s="120">
        <v>62043200</v>
      </c>
      <c r="K40" s="145">
        <v>6</v>
      </c>
      <c r="L40" s="117">
        <v>30.6</v>
      </c>
      <c r="M40" s="117">
        <f t="shared" si="0"/>
        <v>183.60000000000002</v>
      </c>
    </row>
    <row r="41" spans="1:13" s="143" customFormat="1" ht="14.25" customHeight="1">
      <c r="A41" s="142" t="s">
        <v>134</v>
      </c>
      <c r="B41" s="121" t="s">
        <v>80</v>
      </c>
      <c r="C41" s="122" t="s">
        <v>81</v>
      </c>
      <c r="D41" s="25" t="s">
        <v>137</v>
      </c>
      <c r="E41" s="144" t="s">
        <v>76</v>
      </c>
      <c r="F41" s="121" t="s">
        <v>77</v>
      </c>
      <c r="G41" s="118" t="s">
        <v>138</v>
      </c>
      <c r="H41" s="118" t="s">
        <v>58</v>
      </c>
      <c r="I41" s="119" t="s">
        <v>139</v>
      </c>
      <c r="J41" s="120">
        <v>62043200</v>
      </c>
      <c r="K41" s="145">
        <v>3</v>
      </c>
      <c r="L41" s="117">
        <v>30.6</v>
      </c>
      <c r="M41" s="117">
        <f t="shared" ref="M41:M80" si="1">SUM(K41*L41)</f>
        <v>91.800000000000011</v>
      </c>
    </row>
    <row r="42" spans="1:13" s="143" customFormat="1" ht="14.25" customHeight="1">
      <c r="A42" s="142" t="s">
        <v>134</v>
      </c>
      <c r="B42" s="121" t="s">
        <v>86</v>
      </c>
      <c r="C42" s="122" t="s">
        <v>87</v>
      </c>
      <c r="D42" s="25" t="s">
        <v>137</v>
      </c>
      <c r="E42" s="144" t="s">
        <v>76</v>
      </c>
      <c r="F42" s="121" t="s">
        <v>88</v>
      </c>
      <c r="G42" s="118" t="s">
        <v>138</v>
      </c>
      <c r="H42" s="118" t="s">
        <v>58</v>
      </c>
      <c r="I42" s="119" t="s">
        <v>139</v>
      </c>
      <c r="J42" s="120">
        <v>62043200</v>
      </c>
      <c r="K42" s="145">
        <v>12</v>
      </c>
      <c r="L42" s="117">
        <v>30.6</v>
      </c>
      <c r="M42" s="117">
        <f t="shared" si="1"/>
        <v>367.20000000000005</v>
      </c>
    </row>
    <row r="43" spans="1:13" s="143" customFormat="1" ht="14.25" customHeight="1">
      <c r="A43" s="142" t="s">
        <v>134</v>
      </c>
      <c r="B43" s="121" t="s">
        <v>89</v>
      </c>
      <c r="C43" s="122" t="s">
        <v>90</v>
      </c>
      <c r="D43" s="25" t="s">
        <v>137</v>
      </c>
      <c r="E43" s="144" t="s">
        <v>76</v>
      </c>
      <c r="F43" s="121" t="s">
        <v>88</v>
      </c>
      <c r="G43" s="118" t="s">
        <v>138</v>
      </c>
      <c r="H43" s="118" t="s">
        <v>58</v>
      </c>
      <c r="I43" s="119" t="s">
        <v>139</v>
      </c>
      <c r="J43" s="120">
        <v>62043200</v>
      </c>
      <c r="K43" s="145">
        <v>36</v>
      </c>
      <c r="L43" s="117">
        <v>30.6</v>
      </c>
      <c r="M43" s="117">
        <f t="shared" si="1"/>
        <v>1101.6000000000001</v>
      </c>
    </row>
    <row r="44" spans="1:13" s="143" customFormat="1" ht="14.25" customHeight="1">
      <c r="A44" s="142" t="s">
        <v>134</v>
      </c>
      <c r="B44" s="121" t="s">
        <v>91</v>
      </c>
      <c r="C44" s="122" t="s">
        <v>92</v>
      </c>
      <c r="D44" s="25" t="s">
        <v>137</v>
      </c>
      <c r="E44" s="144" t="s">
        <v>76</v>
      </c>
      <c r="F44" s="121" t="s">
        <v>88</v>
      </c>
      <c r="G44" s="118" t="s">
        <v>138</v>
      </c>
      <c r="H44" s="118" t="s">
        <v>58</v>
      </c>
      <c r="I44" s="119" t="s">
        <v>139</v>
      </c>
      <c r="J44" s="120">
        <v>62043200</v>
      </c>
      <c r="K44" s="145">
        <v>36</v>
      </c>
      <c r="L44" s="117">
        <v>30.6</v>
      </c>
      <c r="M44" s="117">
        <f t="shared" si="1"/>
        <v>1101.6000000000001</v>
      </c>
    </row>
    <row r="45" spans="1:13" s="143" customFormat="1" ht="14.25" customHeight="1">
      <c r="A45" s="142" t="s">
        <v>134</v>
      </c>
      <c r="B45" s="121" t="s">
        <v>91</v>
      </c>
      <c r="C45" s="122" t="s">
        <v>92</v>
      </c>
      <c r="D45" s="25" t="s">
        <v>137</v>
      </c>
      <c r="E45" s="144" t="s">
        <v>76</v>
      </c>
      <c r="F45" s="121" t="s">
        <v>88</v>
      </c>
      <c r="G45" s="118" t="s">
        <v>138</v>
      </c>
      <c r="H45" s="118" t="s">
        <v>58</v>
      </c>
      <c r="I45" s="119" t="s">
        <v>139</v>
      </c>
      <c r="J45" s="120">
        <v>62043200</v>
      </c>
      <c r="K45" s="145">
        <v>11</v>
      </c>
      <c r="L45" s="117">
        <v>30.6</v>
      </c>
      <c r="M45" s="117">
        <f t="shared" si="1"/>
        <v>336.6</v>
      </c>
    </row>
    <row r="46" spans="1:13" s="143" customFormat="1" ht="14.25" customHeight="1">
      <c r="A46" s="142" t="s">
        <v>134</v>
      </c>
      <c r="B46" s="121" t="s">
        <v>93</v>
      </c>
      <c r="C46" s="122" t="s">
        <v>94</v>
      </c>
      <c r="D46" s="25" t="s">
        <v>137</v>
      </c>
      <c r="E46" s="144" t="s">
        <v>76</v>
      </c>
      <c r="F46" s="121" t="s">
        <v>88</v>
      </c>
      <c r="G46" s="118" t="s">
        <v>138</v>
      </c>
      <c r="H46" s="118" t="s">
        <v>58</v>
      </c>
      <c r="I46" s="119" t="s">
        <v>139</v>
      </c>
      <c r="J46" s="120">
        <v>62043200</v>
      </c>
      <c r="K46" s="145">
        <v>24</v>
      </c>
      <c r="L46" s="117">
        <v>30.6</v>
      </c>
      <c r="M46" s="117">
        <f t="shared" si="1"/>
        <v>734.40000000000009</v>
      </c>
    </row>
    <row r="47" spans="1:13" s="143" customFormat="1" ht="14.25" customHeight="1">
      <c r="A47" s="142" t="s">
        <v>134</v>
      </c>
      <c r="B47" s="121" t="s">
        <v>93</v>
      </c>
      <c r="C47" s="122" t="s">
        <v>94</v>
      </c>
      <c r="D47" s="25" t="s">
        <v>137</v>
      </c>
      <c r="E47" s="144" t="s">
        <v>76</v>
      </c>
      <c r="F47" s="121" t="s">
        <v>88</v>
      </c>
      <c r="G47" s="118" t="s">
        <v>138</v>
      </c>
      <c r="H47" s="118" t="s">
        <v>58</v>
      </c>
      <c r="I47" s="119" t="s">
        <v>139</v>
      </c>
      <c r="J47" s="120">
        <v>62043200</v>
      </c>
      <c r="K47" s="145">
        <v>11</v>
      </c>
      <c r="L47" s="117">
        <v>30.6</v>
      </c>
      <c r="M47" s="117">
        <f t="shared" si="1"/>
        <v>336.6</v>
      </c>
    </row>
    <row r="48" spans="1:13" s="143" customFormat="1" ht="14.25" customHeight="1">
      <c r="A48" s="142" t="s">
        <v>134</v>
      </c>
      <c r="B48" s="121" t="s">
        <v>89</v>
      </c>
      <c r="C48" s="122" t="s">
        <v>90</v>
      </c>
      <c r="D48" s="25" t="s">
        <v>137</v>
      </c>
      <c r="E48" s="144" t="s">
        <v>76</v>
      </c>
      <c r="F48" s="121" t="s">
        <v>88</v>
      </c>
      <c r="G48" s="118" t="s">
        <v>138</v>
      </c>
      <c r="H48" s="118" t="s">
        <v>58</v>
      </c>
      <c r="I48" s="119" t="s">
        <v>139</v>
      </c>
      <c r="J48" s="120">
        <v>62043200</v>
      </c>
      <c r="K48" s="145">
        <v>1</v>
      </c>
      <c r="L48" s="117">
        <v>30.6</v>
      </c>
      <c r="M48" s="117">
        <f t="shared" si="1"/>
        <v>30.6</v>
      </c>
    </row>
    <row r="49" spans="1:13" s="143" customFormat="1" ht="14.25" customHeight="1">
      <c r="A49" s="142" t="s">
        <v>134</v>
      </c>
      <c r="B49" s="121" t="s">
        <v>91</v>
      </c>
      <c r="C49" s="122" t="s">
        <v>92</v>
      </c>
      <c r="D49" s="25" t="s">
        <v>137</v>
      </c>
      <c r="E49" s="144" t="s">
        <v>76</v>
      </c>
      <c r="F49" s="121" t="s">
        <v>88</v>
      </c>
      <c r="G49" s="118" t="s">
        <v>138</v>
      </c>
      <c r="H49" s="118" t="s">
        <v>58</v>
      </c>
      <c r="I49" s="119" t="s">
        <v>139</v>
      </c>
      <c r="J49" s="120">
        <v>62043200</v>
      </c>
      <c r="K49" s="145">
        <v>1</v>
      </c>
      <c r="L49" s="117">
        <v>30.6</v>
      </c>
      <c r="M49" s="117">
        <f t="shared" si="1"/>
        <v>30.6</v>
      </c>
    </row>
    <row r="50" spans="1:13" s="143" customFormat="1" ht="14.25" customHeight="1">
      <c r="A50" s="142" t="s">
        <v>134</v>
      </c>
      <c r="B50" s="121" t="s">
        <v>95</v>
      </c>
      <c r="C50" s="122" t="s">
        <v>94</v>
      </c>
      <c r="D50" s="25" t="s">
        <v>137</v>
      </c>
      <c r="E50" s="144" t="s">
        <v>76</v>
      </c>
      <c r="F50" s="121" t="s">
        <v>88</v>
      </c>
      <c r="G50" s="118" t="s">
        <v>138</v>
      </c>
      <c r="H50" s="118" t="s">
        <v>58</v>
      </c>
      <c r="I50" s="119" t="s">
        <v>139</v>
      </c>
      <c r="J50" s="120">
        <v>62043200</v>
      </c>
      <c r="K50" s="145">
        <v>2</v>
      </c>
      <c r="L50" s="117">
        <v>30.6</v>
      </c>
      <c r="M50" s="117">
        <f t="shared" si="1"/>
        <v>61.2</v>
      </c>
    </row>
    <row r="51" spans="1:13" s="143" customFormat="1" ht="14.25" customHeight="1">
      <c r="A51" s="142" t="s">
        <v>134</v>
      </c>
      <c r="B51" s="121" t="s">
        <v>96</v>
      </c>
      <c r="C51" s="122" t="s">
        <v>97</v>
      </c>
      <c r="D51" s="25" t="s">
        <v>137</v>
      </c>
      <c r="E51" s="144" t="s">
        <v>76</v>
      </c>
      <c r="F51" s="121" t="s">
        <v>98</v>
      </c>
      <c r="G51" s="118" t="s">
        <v>138</v>
      </c>
      <c r="H51" s="118" t="s">
        <v>58</v>
      </c>
      <c r="I51" s="119" t="s">
        <v>139</v>
      </c>
      <c r="J51" s="120">
        <v>62043200</v>
      </c>
      <c r="K51" s="145">
        <v>7</v>
      </c>
      <c r="L51" s="117">
        <v>30.6</v>
      </c>
      <c r="M51" s="117">
        <f t="shared" si="1"/>
        <v>214.20000000000002</v>
      </c>
    </row>
    <row r="52" spans="1:13" s="143" customFormat="1" ht="14.25" customHeight="1">
      <c r="A52" s="142" t="s">
        <v>134</v>
      </c>
      <c r="B52" s="121" t="s">
        <v>101</v>
      </c>
      <c r="C52" s="122" t="s">
        <v>102</v>
      </c>
      <c r="D52" s="25" t="s">
        <v>137</v>
      </c>
      <c r="E52" s="144" t="s">
        <v>76</v>
      </c>
      <c r="F52" s="121" t="s">
        <v>98</v>
      </c>
      <c r="G52" s="118" t="s">
        <v>138</v>
      </c>
      <c r="H52" s="118" t="s">
        <v>58</v>
      </c>
      <c r="I52" s="119" t="s">
        <v>139</v>
      </c>
      <c r="J52" s="120">
        <v>62043200</v>
      </c>
      <c r="K52" s="145">
        <v>2</v>
      </c>
      <c r="L52" s="117">
        <v>30.6</v>
      </c>
      <c r="M52" s="117">
        <f t="shared" si="1"/>
        <v>61.2</v>
      </c>
    </row>
    <row r="53" spans="1:13" s="143" customFormat="1" ht="14.25" customHeight="1">
      <c r="A53" s="142" t="s">
        <v>134</v>
      </c>
      <c r="B53" s="121" t="s">
        <v>103</v>
      </c>
      <c r="C53" s="122" t="s">
        <v>104</v>
      </c>
      <c r="D53" s="25" t="s">
        <v>137</v>
      </c>
      <c r="E53" s="144" t="s">
        <v>76</v>
      </c>
      <c r="F53" s="121" t="s">
        <v>98</v>
      </c>
      <c r="G53" s="118" t="s">
        <v>138</v>
      </c>
      <c r="H53" s="118" t="s">
        <v>58</v>
      </c>
      <c r="I53" s="119" t="s">
        <v>139</v>
      </c>
      <c r="J53" s="120">
        <v>62043200</v>
      </c>
      <c r="K53" s="145">
        <v>2</v>
      </c>
      <c r="L53" s="117">
        <v>30.6</v>
      </c>
      <c r="M53" s="117">
        <f t="shared" si="1"/>
        <v>61.2</v>
      </c>
    </row>
    <row r="54" spans="1:13" s="143" customFormat="1" ht="14.25" customHeight="1">
      <c r="A54" s="142" t="s">
        <v>134</v>
      </c>
      <c r="B54" s="121" t="s">
        <v>99</v>
      </c>
      <c r="C54" s="122" t="s">
        <v>100</v>
      </c>
      <c r="D54" s="25" t="s">
        <v>137</v>
      </c>
      <c r="E54" s="144" t="s">
        <v>76</v>
      </c>
      <c r="F54" s="121" t="s">
        <v>98</v>
      </c>
      <c r="G54" s="118" t="s">
        <v>138</v>
      </c>
      <c r="H54" s="118" t="s">
        <v>58</v>
      </c>
      <c r="I54" s="119" t="s">
        <v>139</v>
      </c>
      <c r="J54" s="120">
        <v>62043200</v>
      </c>
      <c r="K54" s="145">
        <v>60</v>
      </c>
      <c r="L54" s="117">
        <v>30.6</v>
      </c>
      <c r="M54" s="117">
        <f t="shared" si="1"/>
        <v>1836</v>
      </c>
    </row>
    <row r="55" spans="1:13" s="143" customFormat="1" ht="14.25" customHeight="1">
      <c r="A55" s="142" t="s">
        <v>134</v>
      </c>
      <c r="B55" s="121" t="s">
        <v>99</v>
      </c>
      <c r="C55" s="122" t="s">
        <v>100</v>
      </c>
      <c r="D55" s="25" t="s">
        <v>137</v>
      </c>
      <c r="E55" s="144" t="s">
        <v>76</v>
      </c>
      <c r="F55" s="121" t="s">
        <v>98</v>
      </c>
      <c r="G55" s="118" t="s">
        <v>138</v>
      </c>
      <c r="H55" s="118" t="s">
        <v>58</v>
      </c>
      <c r="I55" s="119" t="s">
        <v>139</v>
      </c>
      <c r="J55" s="120">
        <v>62043200</v>
      </c>
      <c r="K55" s="145">
        <v>5</v>
      </c>
      <c r="L55" s="117">
        <v>30.6</v>
      </c>
      <c r="M55" s="117">
        <f t="shared" si="1"/>
        <v>153</v>
      </c>
    </row>
    <row r="56" spans="1:13" s="143" customFormat="1" ht="14.25" customHeight="1">
      <c r="A56" s="142" t="s">
        <v>134</v>
      </c>
      <c r="B56" s="121" t="s">
        <v>101</v>
      </c>
      <c r="C56" s="122" t="s">
        <v>102</v>
      </c>
      <c r="D56" s="25" t="s">
        <v>137</v>
      </c>
      <c r="E56" s="144" t="s">
        <v>76</v>
      </c>
      <c r="F56" s="121" t="s">
        <v>98</v>
      </c>
      <c r="G56" s="118" t="s">
        <v>138</v>
      </c>
      <c r="H56" s="118" t="s">
        <v>58</v>
      </c>
      <c r="I56" s="119" t="s">
        <v>139</v>
      </c>
      <c r="J56" s="120">
        <v>62043200</v>
      </c>
      <c r="K56" s="145">
        <v>72</v>
      </c>
      <c r="L56" s="117">
        <v>30.6</v>
      </c>
      <c r="M56" s="117">
        <f t="shared" si="1"/>
        <v>2203.2000000000003</v>
      </c>
    </row>
    <row r="57" spans="1:13" s="143" customFormat="1" ht="14.25" customHeight="1">
      <c r="A57" s="142" t="s">
        <v>134</v>
      </c>
      <c r="B57" s="121" t="s">
        <v>103</v>
      </c>
      <c r="C57" s="122" t="s">
        <v>104</v>
      </c>
      <c r="D57" s="25" t="s">
        <v>137</v>
      </c>
      <c r="E57" s="144" t="s">
        <v>76</v>
      </c>
      <c r="F57" s="121" t="s">
        <v>98</v>
      </c>
      <c r="G57" s="118" t="s">
        <v>138</v>
      </c>
      <c r="H57" s="118" t="s">
        <v>58</v>
      </c>
      <c r="I57" s="119" t="s">
        <v>139</v>
      </c>
      <c r="J57" s="120">
        <v>62043200</v>
      </c>
      <c r="K57" s="145">
        <v>48</v>
      </c>
      <c r="L57" s="117">
        <v>30.6</v>
      </c>
      <c r="M57" s="117">
        <f t="shared" si="1"/>
        <v>1468.8000000000002</v>
      </c>
    </row>
    <row r="58" spans="1:13" s="143" customFormat="1" ht="14.25" customHeight="1">
      <c r="A58" s="142" t="s">
        <v>134</v>
      </c>
      <c r="B58" s="121" t="s">
        <v>105</v>
      </c>
      <c r="C58" s="122" t="s">
        <v>106</v>
      </c>
      <c r="D58" s="25" t="s">
        <v>137</v>
      </c>
      <c r="E58" s="144" t="s">
        <v>76</v>
      </c>
      <c r="F58" s="121" t="s">
        <v>98</v>
      </c>
      <c r="G58" s="118" t="s">
        <v>138</v>
      </c>
      <c r="H58" s="118" t="s">
        <v>58</v>
      </c>
      <c r="I58" s="119" t="s">
        <v>139</v>
      </c>
      <c r="J58" s="120">
        <v>62043200</v>
      </c>
      <c r="K58" s="145">
        <v>12</v>
      </c>
      <c r="L58" s="117">
        <v>30.6</v>
      </c>
      <c r="M58" s="117">
        <f t="shared" si="1"/>
        <v>367.20000000000005</v>
      </c>
    </row>
    <row r="59" spans="1:13" s="143" customFormat="1" ht="14.25" customHeight="1">
      <c r="A59" s="142" t="s">
        <v>134</v>
      </c>
      <c r="B59" s="121" t="s">
        <v>105</v>
      </c>
      <c r="C59" s="122" t="s">
        <v>106</v>
      </c>
      <c r="D59" s="25" t="s">
        <v>137</v>
      </c>
      <c r="E59" s="144" t="s">
        <v>76</v>
      </c>
      <c r="F59" s="121" t="s">
        <v>98</v>
      </c>
      <c r="G59" s="118" t="s">
        <v>138</v>
      </c>
      <c r="H59" s="118" t="s">
        <v>58</v>
      </c>
      <c r="I59" s="119" t="s">
        <v>139</v>
      </c>
      <c r="J59" s="120">
        <v>62043200</v>
      </c>
      <c r="K59" s="145">
        <v>9</v>
      </c>
      <c r="L59" s="117">
        <v>30.6</v>
      </c>
      <c r="M59" s="117">
        <f t="shared" si="1"/>
        <v>275.40000000000003</v>
      </c>
    </row>
    <row r="60" spans="1:13" s="143" customFormat="1" ht="14.25" customHeight="1">
      <c r="A60" s="142" t="s">
        <v>134</v>
      </c>
      <c r="B60" s="121" t="s">
        <v>107</v>
      </c>
      <c r="C60" s="122" t="s">
        <v>108</v>
      </c>
      <c r="D60" s="25" t="s">
        <v>137</v>
      </c>
      <c r="E60" s="144" t="s">
        <v>109</v>
      </c>
      <c r="F60" s="121" t="s">
        <v>110</v>
      </c>
      <c r="G60" s="118" t="s">
        <v>138</v>
      </c>
      <c r="H60" s="118" t="s">
        <v>59</v>
      </c>
      <c r="I60" s="119" t="s">
        <v>139</v>
      </c>
      <c r="J60" s="120">
        <v>62043200</v>
      </c>
      <c r="K60" s="145">
        <v>12</v>
      </c>
      <c r="L60" s="117">
        <v>37.11</v>
      </c>
      <c r="M60" s="117">
        <f t="shared" si="1"/>
        <v>445.32</v>
      </c>
    </row>
    <row r="61" spans="1:13" s="143" customFormat="1" ht="14.25" customHeight="1">
      <c r="A61" s="142" t="s">
        <v>134</v>
      </c>
      <c r="B61" s="121" t="s">
        <v>111</v>
      </c>
      <c r="C61" s="122" t="s">
        <v>112</v>
      </c>
      <c r="D61" s="25" t="s">
        <v>137</v>
      </c>
      <c r="E61" s="144" t="s">
        <v>109</v>
      </c>
      <c r="F61" s="121" t="s">
        <v>110</v>
      </c>
      <c r="G61" s="118" t="s">
        <v>138</v>
      </c>
      <c r="H61" s="118" t="s">
        <v>59</v>
      </c>
      <c r="I61" s="119" t="s">
        <v>139</v>
      </c>
      <c r="J61" s="120">
        <v>62043200</v>
      </c>
      <c r="K61" s="145">
        <v>36</v>
      </c>
      <c r="L61" s="117">
        <v>37.11</v>
      </c>
      <c r="M61" s="117">
        <f t="shared" si="1"/>
        <v>1335.96</v>
      </c>
    </row>
    <row r="62" spans="1:13" s="143" customFormat="1" ht="14.25" customHeight="1">
      <c r="A62" s="142" t="s">
        <v>134</v>
      </c>
      <c r="B62" s="121" t="s">
        <v>113</v>
      </c>
      <c r="C62" s="122" t="s">
        <v>114</v>
      </c>
      <c r="D62" s="25" t="s">
        <v>137</v>
      </c>
      <c r="E62" s="144" t="s">
        <v>109</v>
      </c>
      <c r="F62" s="121" t="s">
        <v>110</v>
      </c>
      <c r="G62" s="118" t="s">
        <v>138</v>
      </c>
      <c r="H62" s="118" t="s">
        <v>59</v>
      </c>
      <c r="I62" s="119" t="s">
        <v>139</v>
      </c>
      <c r="J62" s="120">
        <v>62043200</v>
      </c>
      <c r="K62" s="145">
        <v>24</v>
      </c>
      <c r="L62" s="117">
        <v>37.11</v>
      </c>
      <c r="M62" s="117">
        <f t="shared" si="1"/>
        <v>890.64</v>
      </c>
    </row>
    <row r="63" spans="1:13" s="143" customFormat="1" ht="14.25" customHeight="1">
      <c r="A63" s="142" t="s">
        <v>134</v>
      </c>
      <c r="B63" s="121" t="s">
        <v>113</v>
      </c>
      <c r="C63" s="122" t="s">
        <v>114</v>
      </c>
      <c r="D63" s="25" t="s">
        <v>137</v>
      </c>
      <c r="E63" s="144" t="s">
        <v>109</v>
      </c>
      <c r="F63" s="121" t="s">
        <v>110</v>
      </c>
      <c r="G63" s="118" t="s">
        <v>138</v>
      </c>
      <c r="H63" s="118" t="s">
        <v>59</v>
      </c>
      <c r="I63" s="119" t="s">
        <v>139</v>
      </c>
      <c r="J63" s="120">
        <v>62043200</v>
      </c>
      <c r="K63" s="145">
        <v>20</v>
      </c>
      <c r="L63" s="117">
        <v>37.11</v>
      </c>
      <c r="M63" s="117">
        <f t="shared" si="1"/>
        <v>742.2</v>
      </c>
    </row>
    <row r="64" spans="1:13" s="143" customFormat="1" ht="14.25" customHeight="1">
      <c r="A64" s="142" t="s">
        <v>134</v>
      </c>
      <c r="B64" s="121" t="s">
        <v>115</v>
      </c>
      <c r="C64" s="122" t="s">
        <v>116</v>
      </c>
      <c r="D64" s="25" t="s">
        <v>137</v>
      </c>
      <c r="E64" s="144" t="s">
        <v>109</v>
      </c>
      <c r="F64" s="121" t="s">
        <v>110</v>
      </c>
      <c r="G64" s="118" t="s">
        <v>138</v>
      </c>
      <c r="H64" s="118" t="s">
        <v>59</v>
      </c>
      <c r="I64" s="119" t="s">
        <v>139</v>
      </c>
      <c r="J64" s="120">
        <v>62043200</v>
      </c>
      <c r="K64" s="145">
        <v>30</v>
      </c>
      <c r="L64" s="117">
        <v>37.11</v>
      </c>
      <c r="M64" s="117">
        <f t="shared" si="1"/>
        <v>1113.3</v>
      </c>
    </row>
    <row r="65" spans="1:13" s="143" customFormat="1" ht="14.25" customHeight="1">
      <c r="A65" s="142" t="s">
        <v>134</v>
      </c>
      <c r="B65" s="121" t="s">
        <v>117</v>
      </c>
      <c r="C65" s="122" t="s">
        <v>118</v>
      </c>
      <c r="D65" s="25" t="s">
        <v>137</v>
      </c>
      <c r="E65" s="144" t="s">
        <v>109</v>
      </c>
      <c r="F65" s="121" t="s">
        <v>110</v>
      </c>
      <c r="G65" s="118" t="s">
        <v>138</v>
      </c>
      <c r="H65" s="118" t="s">
        <v>59</v>
      </c>
      <c r="I65" s="119" t="s">
        <v>139</v>
      </c>
      <c r="J65" s="120">
        <v>62043200</v>
      </c>
      <c r="K65" s="145">
        <v>10</v>
      </c>
      <c r="L65" s="117">
        <v>37.11</v>
      </c>
      <c r="M65" s="117">
        <f t="shared" si="1"/>
        <v>371.1</v>
      </c>
    </row>
    <row r="66" spans="1:13" s="143" customFormat="1" ht="14.25" customHeight="1">
      <c r="A66" s="142" t="s">
        <v>134</v>
      </c>
      <c r="B66" s="121" t="s">
        <v>117</v>
      </c>
      <c r="C66" s="122" t="s">
        <v>118</v>
      </c>
      <c r="D66" s="25" t="s">
        <v>137</v>
      </c>
      <c r="E66" s="144" t="s">
        <v>109</v>
      </c>
      <c r="F66" s="121" t="s">
        <v>110</v>
      </c>
      <c r="G66" s="118" t="s">
        <v>138</v>
      </c>
      <c r="H66" s="118" t="s">
        <v>59</v>
      </c>
      <c r="I66" s="119" t="s">
        <v>139</v>
      </c>
      <c r="J66" s="120">
        <v>62043200</v>
      </c>
      <c r="K66" s="145">
        <v>10</v>
      </c>
      <c r="L66" s="117">
        <v>37.11</v>
      </c>
      <c r="M66" s="117">
        <f t="shared" si="1"/>
        <v>371.1</v>
      </c>
    </row>
    <row r="67" spans="1:13" s="143" customFormat="1" ht="14.25" customHeight="1">
      <c r="A67" s="142" t="s">
        <v>134</v>
      </c>
      <c r="B67" s="121" t="s">
        <v>107</v>
      </c>
      <c r="C67" s="122" t="s">
        <v>108</v>
      </c>
      <c r="D67" s="25" t="s">
        <v>137</v>
      </c>
      <c r="E67" s="144" t="s">
        <v>109</v>
      </c>
      <c r="F67" s="121" t="s">
        <v>110</v>
      </c>
      <c r="G67" s="118" t="s">
        <v>138</v>
      </c>
      <c r="H67" s="118" t="s">
        <v>59</v>
      </c>
      <c r="I67" s="119" t="s">
        <v>139</v>
      </c>
      <c r="J67" s="120">
        <v>62043200</v>
      </c>
      <c r="K67" s="145">
        <v>2</v>
      </c>
      <c r="L67" s="117">
        <v>37.11</v>
      </c>
      <c r="M67" s="117">
        <f t="shared" si="1"/>
        <v>74.22</v>
      </c>
    </row>
    <row r="68" spans="1:13" s="143" customFormat="1" ht="14.25" customHeight="1">
      <c r="A68" s="142" t="s">
        <v>134</v>
      </c>
      <c r="B68" s="121" t="s">
        <v>111</v>
      </c>
      <c r="C68" s="122" t="s">
        <v>112</v>
      </c>
      <c r="D68" s="25" t="s">
        <v>137</v>
      </c>
      <c r="E68" s="144" t="s">
        <v>109</v>
      </c>
      <c r="F68" s="121" t="s">
        <v>110</v>
      </c>
      <c r="G68" s="118" t="s">
        <v>138</v>
      </c>
      <c r="H68" s="118" t="s">
        <v>59</v>
      </c>
      <c r="I68" s="119" t="s">
        <v>139</v>
      </c>
      <c r="J68" s="120">
        <v>62043200</v>
      </c>
      <c r="K68" s="145">
        <v>7</v>
      </c>
      <c r="L68" s="117">
        <v>37.11</v>
      </c>
      <c r="M68" s="117">
        <f t="shared" si="1"/>
        <v>259.77</v>
      </c>
    </row>
    <row r="69" spans="1:13" s="143" customFormat="1" ht="14.25" customHeight="1">
      <c r="A69" s="142" t="s">
        <v>134</v>
      </c>
      <c r="B69" s="121" t="s">
        <v>113</v>
      </c>
      <c r="C69" s="122" t="s">
        <v>114</v>
      </c>
      <c r="D69" s="25" t="s">
        <v>137</v>
      </c>
      <c r="E69" s="144" t="s">
        <v>109</v>
      </c>
      <c r="F69" s="121" t="s">
        <v>110</v>
      </c>
      <c r="G69" s="118" t="s">
        <v>138</v>
      </c>
      <c r="H69" s="118" t="s">
        <v>59</v>
      </c>
      <c r="I69" s="119" t="s">
        <v>139</v>
      </c>
      <c r="J69" s="120">
        <v>62043200</v>
      </c>
      <c r="K69" s="145">
        <v>3</v>
      </c>
      <c r="L69" s="117">
        <v>37.11</v>
      </c>
      <c r="M69" s="117">
        <f t="shared" si="1"/>
        <v>111.33</v>
      </c>
    </row>
    <row r="70" spans="1:13" s="143" customFormat="1" ht="14.25" customHeight="1">
      <c r="A70" s="142" t="s">
        <v>134</v>
      </c>
      <c r="B70" s="121" t="s">
        <v>115</v>
      </c>
      <c r="C70" s="122" t="s">
        <v>116</v>
      </c>
      <c r="D70" s="25" t="s">
        <v>137</v>
      </c>
      <c r="E70" s="144" t="s">
        <v>109</v>
      </c>
      <c r="F70" s="121" t="s">
        <v>110</v>
      </c>
      <c r="G70" s="118" t="s">
        <v>138</v>
      </c>
      <c r="H70" s="118" t="s">
        <v>59</v>
      </c>
      <c r="I70" s="119" t="s">
        <v>139</v>
      </c>
      <c r="J70" s="120">
        <v>62043200</v>
      </c>
      <c r="K70" s="145">
        <v>5</v>
      </c>
      <c r="L70" s="117">
        <v>37.11</v>
      </c>
      <c r="M70" s="117">
        <f t="shared" si="1"/>
        <v>185.55</v>
      </c>
    </row>
    <row r="71" spans="1:13" s="143" customFormat="1" ht="14.25" customHeight="1">
      <c r="A71" s="142" t="s">
        <v>134</v>
      </c>
      <c r="B71" s="121" t="s">
        <v>119</v>
      </c>
      <c r="C71" s="122" t="s">
        <v>120</v>
      </c>
      <c r="D71" s="25" t="s">
        <v>137</v>
      </c>
      <c r="E71" s="144" t="s">
        <v>121</v>
      </c>
      <c r="F71" s="121" t="s">
        <v>122</v>
      </c>
      <c r="G71" s="118" t="s">
        <v>138</v>
      </c>
      <c r="H71" s="118" t="s">
        <v>59</v>
      </c>
      <c r="I71" s="119" t="s">
        <v>139</v>
      </c>
      <c r="J71" s="120">
        <v>62043200</v>
      </c>
      <c r="K71" s="145">
        <v>13</v>
      </c>
      <c r="L71" s="117">
        <v>30.56</v>
      </c>
      <c r="M71" s="117">
        <f t="shared" si="1"/>
        <v>397.28</v>
      </c>
    </row>
    <row r="72" spans="1:13" s="143" customFormat="1" ht="14.25" customHeight="1">
      <c r="A72" s="142" t="s">
        <v>134</v>
      </c>
      <c r="B72" s="121" t="s">
        <v>123</v>
      </c>
      <c r="C72" s="122" t="s">
        <v>124</v>
      </c>
      <c r="D72" s="25" t="s">
        <v>137</v>
      </c>
      <c r="E72" s="144" t="s">
        <v>121</v>
      </c>
      <c r="F72" s="121" t="s">
        <v>122</v>
      </c>
      <c r="G72" s="118" t="s">
        <v>138</v>
      </c>
      <c r="H72" s="118" t="s">
        <v>59</v>
      </c>
      <c r="I72" s="119" t="s">
        <v>139</v>
      </c>
      <c r="J72" s="120">
        <v>62043200</v>
      </c>
      <c r="K72" s="145">
        <v>12</v>
      </c>
      <c r="L72" s="117">
        <v>30.56</v>
      </c>
      <c r="M72" s="117">
        <f t="shared" si="1"/>
        <v>366.71999999999997</v>
      </c>
    </row>
    <row r="73" spans="1:13" s="143" customFormat="1" ht="14.25" customHeight="1">
      <c r="A73" s="142" t="s">
        <v>134</v>
      </c>
      <c r="B73" s="121" t="s">
        <v>123</v>
      </c>
      <c r="C73" s="122" t="s">
        <v>124</v>
      </c>
      <c r="D73" s="25" t="s">
        <v>137</v>
      </c>
      <c r="E73" s="144" t="s">
        <v>121</v>
      </c>
      <c r="F73" s="121" t="s">
        <v>122</v>
      </c>
      <c r="G73" s="118" t="s">
        <v>138</v>
      </c>
      <c r="H73" s="118" t="s">
        <v>59</v>
      </c>
      <c r="I73" s="119" t="s">
        <v>139</v>
      </c>
      <c r="J73" s="120">
        <v>62043200</v>
      </c>
      <c r="K73" s="145">
        <v>12</v>
      </c>
      <c r="L73" s="117">
        <v>30.56</v>
      </c>
      <c r="M73" s="117">
        <f t="shared" si="1"/>
        <v>366.71999999999997</v>
      </c>
    </row>
    <row r="74" spans="1:13" s="143" customFormat="1" ht="14.25" customHeight="1">
      <c r="A74" s="142" t="s">
        <v>134</v>
      </c>
      <c r="B74" s="121" t="s">
        <v>125</v>
      </c>
      <c r="C74" s="122" t="s">
        <v>126</v>
      </c>
      <c r="D74" s="25" t="s">
        <v>137</v>
      </c>
      <c r="E74" s="144" t="s">
        <v>121</v>
      </c>
      <c r="F74" s="121" t="s">
        <v>122</v>
      </c>
      <c r="G74" s="118" t="s">
        <v>138</v>
      </c>
      <c r="H74" s="118" t="s">
        <v>59</v>
      </c>
      <c r="I74" s="119" t="s">
        <v>139</v>
      </c>
      <c r="J74" s="120">
        <v>62043200</v>
      </c>
      <c r="K74" s="145">
        <v>39</v>
      </c>
      <c r="L74" s="117">
        <v>30.56</v>
      </c>
      <c r="M74" s="117">
        <f t="shared" si="1"/>
        <v>1191.8399999999999</v>
      </c>
    </row>
    <row r="75" spans="1:13" s="143" customFormat="1" ht="14.25" customHeight="1">
      <c r="A75" s="142" t="s">
        <v>134</v>
      </c>
      <c r="B75" s="121" t="s">
        <v>125</v>
      </c>
      <c r="C75" s="122" t="s">
        <v>126</v>
      </c>
      <c r="D75" s="25" t="s">
        <v>137</v>
      </c>
      <c r="E75" s="144" t="s">
        <v>121</v>
      </c>
      <c r="F75" s="121" t="s">
        <v>122</v>
      </c>
      <c r="G75" s="118" t="s">
        <v>138</v>
      </c>
      <c r="H75" s="118" t="s">
        <v>59</v>
      </c>
      <c r="I75" s="119" t="s">
        <v>139</v>
      </c>
      <c r="J75" s="120">
        <v>62043200</v>
      </c>
      <c r="K75" s="145">
        <v>11</v>
      </c>
      <c r="L75" s="117">
        <v>30.56</v>
      </c>
      <c r="M75" s="117">
        <f t="shared" si="1"/>
        <v>336.15999999999997</v>
      </c>
    </row>
    <row r="76" spans="1:13" s="143" customFormat="1" ht="14.25" customHeight="1">
      <c r="A76" s="142" t="s">
        <v>134</v>
      </c>
      <c r="B76" s="121" t="s">
        <v>127</v>
      </c>
      <c r="C76" s="122" t="s">
        <v>128</v>
      </c>
      <c r="D76" s="25" t="s">
        <v>137</v>
      </c>
      <c r="E76" s="144" t="s">
        <v>121</v>
      </c>
      <c r="F76" s="121" t="s">
        <v>122</v>
      </c>
      <c r="G76" s="118" t="s">
        <v>138</v>
      </c>
      <c r="H76" s="118" t="s">
        <v>59</v>
      </c>
      <c r="I76" s="119" t="s">
        <v>139</v>
      </c>
      <c r="J76" s="120">
        <v>62043200</v>
      </c>
      <c r="K76" s="145">
        <v>60</v>
      </c>
      <c r="L76" s="117">
        <v>30.56</v>
      </c>
      <c r="M76" s="117">
        <f t="shared" si="1"/>
        <v>1833.6</v>
      </c>
    </row>
    <row r="77" spans="1:13" s="143" customFormat="1" ht="14.25" customHeight="1">
      <c r="A77" s="142" t="s">
        <v>134</v>
      </c>
      <c r="B77" s="121" t="s">
        <v>129</v>
      </c>
      <c r="C77" s="122" t="s">
        <v>130</v>
      </c>
      <c r="D77" s="25" t="s">
        <v>137</v>
      </c>
      <c r="E77" s="144" t="s">
        <v>121</v>
      </c>
      <c r="F77" s="121" t="s">
        <v>122</v>
      </c>
      <c r="G77" s="118" t="s">
        <v>138</v>
      </c>
      <c r="H77" s="118" t="s">
        <v>59</v>
      </c>
      <c r="I77" s="119" t="s">
        <v>139</v>
      </c>
      <c r="J77" s="120">
        <v>62043200</v>
      </c>
      <c r="K77" s="145">
        <v>24</v>
      </c>
      <c r="L77" s="117">
        <v>30.56</v>
      </c>
      <c r="M77" s="117">
        <f t="shared" si="1"/>
        <v>733.43999999999994</v>
      </c>
    </row>
    <row r="78" spans="1:13" s="143" customFormat="1" ht="14.25" customHeight="1">
      <c r="A78" s="142" t="s">
        <v>134</v>
      </c>
      <c r="B78" s="121" t="s">
        <v>119</v>
      </c>
      <c r="C78" s="122" t="s">
        <v>120</v>
      </c>
      <c r="D78" s="25" t="s">
        <v>137</v>
      </c>
      <c r="E78" s="144" t="s">
        <v>121</v>
      </c>
      <c r="F78" s="121" t="s">
        <v>122</v>
      </c>
      <c r="G78" s="118" t="s">
        <v>138</v>
      </c>
      <c r="H78" s="118" t="s">
        <v>59</v>
      </c>
      <c r="I78" s="119" t="s">
        <v>139</v>
      </c>
      <c r="J78" s="120">
        <v>62043200</v>
      </c>
      <c r="K78" s="145">
        <v>1</v>
      </c>
      <c r="L78" s="117">
        <v>30.56</v>
      </c>
      <c r="M78" s="117">
        <f t="shared" si="1"/>
        <v>30.56</v>
      </c>
    </row>
    <row r="79" spans="1:13" s="143" customFormat="1" ht="14.25" customHeight="1">
      <c r="A79" s="142" t="s">
        <v>134</v>
      </c>
      <c r="B79" s="121" t="s">
        <v>127</v>
      </c>
      <c r="C79" s="122" t="s">
        <v>128</v>
      </c>
      <c r="D79" s="25" t="s">
        <v>137</v>
      </c>
      <c r="E79" s="144" t="s">
        <v>121</v>
      </c>
      <c r="F79" s="121" t="s">
        <v>122</v>
      </c>
      <c r="G79" s="118" t="s">
        <v>138</v>
      </c>
      <c r="H79" s="118" t="s">
        <v>59</v>
      </c>
      <c r="I79" s="119" t="s">
        <v>139</v>
      </c>
      <c r="J79" s="120">
        <v>62043200</v>
      </c>
      <c r="K79" s="145">
        <v>1</v>
      </c>
      <c r="L79" s="117">
        <v>30.56</v>
      </c>
      <c r="M79" s="117">
        <f t="shared" si="1"/>
        <v>30.56</v>
      </c>
    </row>
    <row r="80" spans="1:13" s="143" customFormat="1" ht="14.25" customHeight="1" thickBot="1">
      <c r="A80" s="142" t="s">
        <v>134</v>
      </c>
      <c r="B80" s="121" t="s">
        <v>129</v>
      </c>
      <c r="C80" s="122" t="s">
        <v>130</v>
      </c>
      <c r="D80" s="25" t="s">
        <v>137</v>
      </c>
      <c r="E80" s="144" t="s">
        <v>121</v>
      </c>
      <c r="F80" s="121" t="s">
        <v>122</v>
      </c>
      <c r="G80" s="118" t="s">
        <v>138</v>
      </c>
      <c r="H80" s="118" t="s">
        <v>59</v>
      </c>
      <c r="I80" s="119" t="s">
        <v>139</v>
      </c>
      <c r="J80" s="120">
        <v>62043200</v>
      </c>
      <c r="K80" s="145">
        <v>4</v>
      </c>
      <c r="L80" s="117">
        <v>30.56</v>
      </c>
      <c r="M80" s="117">
        <f t="shared" si="1"/>
        <v>122.24</v>
      </c>
    </row>
    <row r="81" spans="1:13" ht="14.25" customHeight="1" thickBot="1">
      <c r="A81" s="76"/>
      <c r="B81" s="77"/>
      <c r="C81" s="77"/>
      <c r="D81" s="78"/>
      <c r="E81" s="79"/>
      <c r="F81" s="78"/>
      <c r="G81" s="79"/>
      <c r="H81" s="79"/>
      <c r="I81" s="80"/>
      <c r="J81" s="81"/>
      <c r="K81" s="123">
        <f>SUM(K22:K80)</f>
        <v>1207</v>
      </c>
      <c r="L81" s="82"/>
      <c r="M81" s="83">
        <f>SUM(M22:M80)</f>
        <v>37752.369999999988</v>
      </c>
    </row>
    <row r="82" spans="1:13" ht="14.25" customHeight="1">
      <c r="A82" s="50" t="s">
        <v>141</v>
      </c>
      <c r="B82" s="49"/>
      <c r="J82" s="51"/>
      <c r="M82" s="36"/>
    </row>
    <row r="83" spans="1:13" ht="14.25" customHeight="1">
      <c r="A83" s="52"/>
      <c r="B83" s="49"/>
      <c r="C83" s="49"/>
      <c r="D83" s="53"/>
      <c r="E83" s="54"/>
      <c r="F83" s="53"/>
      <c r="G83" s="54"/>
      <c r="H83" s="54"/>
      <c r="I83" s="49"/>
      <c r="J83" s="54"/>
      <c r="K83" s="49"/>
      <c r="L83" s="49"/>
      <c r="M83" s="55"/>
    </row>
    <row r="84" spans="1:13" ht="14.25" customHeight="1">
      <c r="A84" s="52"/>
      <c r="B84" s="49"/>
      <c r="C84" s="49"/>
      <c r="D84" s="53"/>
      <c r="E84" s="54"/>
      <c r="F84" s="53"/>
      <c r="G84" s="54"/>
      <c r="H84" s="54"/>
      <c r="I84" s="49"/>
      <c r="J84" s="54"/>
      <c r="K84" s="49"/>
      <c r="L84" s="49"/>
      <c r="M84" s="55"/>
    </row>
    <row r="85" spans="1:13" ht="14.25" customHeight="1" thickBot="1">
      <c r="A85" s="56" t="s">
        <v>29</v>
      </c>
      <c r="B85" s="57"/>
      <c r="C85" s="57"/>
      <c r="D85" s="58"/>
      <c r="E85" s="59"/>
      <c r="F85" s="58"/>
      <c r="G85" s="59"/>
      <c r="H85" s="59"/>
      <c r="I85" s="57"/>
      <c r="J85" s="59"/>
      <c r="K85" s="57"/>
      <c r="L85" s="57"/>
      <c r="M85" s="60"/>
    </row>
    <row r="86" spans="1:13" ht="14.25" customHeight="1">
      <c r="A86" s="61"/>
      <c r="B86" s="62"/>
      <c r="C86" s="62"/>
      <c r="D86" s="63"/>
      <c r="E86" s="64"/>
      <c r="F86" s="63"/>
      <c r="G86" s="64"/>
      <c r="H86" s="65"/>
      <c r="I86" s="62"/>
      <c r="J86" s="64"/>
      <c r="K86" s="62"/>
      <c r="L86" s="62"/>
      <c r="M86" s="66"/>
    </row>
    <row r="87" spans="1:13" ht="14.25" customHeight="1">
      <c r="A87" s="52"/>
      <c r="B87" s="49"/>
      <c r="C87" s="49"/>
      <c r="D87" s="53"/>
      <c r="E87" s="54"/>
      <c r="F87" s="53"/>
      <c r="G87" s="54"/>
      <c r="H87" s="54"/>
      <c r="I87" s="49"/>
      <c r="J87" s="54"/>
      <c r="K87" s="49"/>
      <c r="L87" s="49"/>
      <c r="M87" s="55"/>
    </row>
    <row r="88" spans="1:13" ht="14.25" customHeight="1">
      <c r="A88" s="52"/>
      <c r="B88" s="49"/>
      <c r="C88" s="49"/>
      <c r="D88" s="53"/>
      <c r="E88" s="54"/>
      <c r="F88" s="53"/>
      <c r="G88" s="54"/>
      <c r="H88" s="33"/>
      <c r="I88" s="49"/>
      <c r="J88" s="54"/>
      <c r="K88" s="49"/>
      <c r="L88" s="49"/>
      <c r="M88" s="55"/>
    </row>
    <row r="89" spans="1:13" ht="14.25" customHeight="1">
      <c r="A89" s="52"/>
      <c r="B89" s="49"/>
      <c r="C89" s="49"/>
      <c r="D89" s="53"/>
      <c r="E89" s="54"/>
      <c r="F89" s="53"/>
      <c r="G89" s="54"/>
      <c r="H89" s="54"/>
      <c r="I89" s="49"/>
      <c r="J89" s="54"/>
      <c r="K89" s="49"/>
      <c r="L89" s="49"/>
      <c r="M89" s="55"/>
    </row>
    <row r="90" spans="1:13" ht="14.25" customHeight="1">
      <c r="A90" s="52"/>
      <c r="B90" s="49"/>
      <c r="C90" s="49"/>
      <c r="D90" s="53"/>
      <c r="E90" s="54"/>
      <c r="F90" s="53"/>
      <c r="I90" s="40" t="s">
        <v>30</v>
      </c>
      <c r="K90" s="49"/>
      <c r="L90" s="49"/>
      <c r="M90" s="55"/>
    </row>
    <row r="91" spans="1:13" ht="14.25" customHeight="1">
      <c r="A91" s="52"/>
      <c r="B91" s="49"/>
      <c r="C91" s="49"/>
      <c r="D91" s="53"/>
      <c r="E91" s="54"/>
      <c r="F91" s="53"/>
      <c r="I91" s="67" t="s">
        <v>32</v>
      </c>
      <c r="K91" s="49"/>
      <c r="L91" s="49"/>
      <c r="M91" s="55"/>
    </row>
    <row r="92" spans="1:13" ht="14.25" customHeight="1">
      <c r="A92" s="52"/>
      <c r="B92" s="49"/>
      <c r="C92" s="49"/>
      <c r="D92" s="53"/>
      <c r="E92" s="54"/>
      <c r="F92" s="53"/>
      <c r="I92" s="146" t="s">
        <v>54</v>
      </c>
      <c r="K92" s="49"/>
      <c r="L92" s="49"/>
      <c r="M92" s="55"/>
    </row>
    <row r="93" spans="1:13" ht="14.25" customHeight="1">
      <c r="A93" s="52"/>
      <c r="B93" s="49"/>
      <c r="C93" s="49"/>
      <c r="D93" s="53"/>
      <c r="E93" s="54"/>
      <c r="F93" s="53"/>
      <c r="I93" s="146" t="s">
        <v>132</v>
      </c>
      <c r="K93" s="49"/>
      <c r="L93" s="49"/>
      <c r="M93" s="55"/>
    </row>
    <row r="94" spans="1:13" ht="14.25" customHeight="1">
      <c r="A94" s="52"/>
      <c r="B94" s="49"/>
      <c r="C94" s="49"/>
      <c r="D94" s="53"/>
      <c r="E94" s="54"/>
      <c r="F94" s="53"/>
      <c r="I94" s="146" t="s">
        <v>56</v>
      </c>
      <c r="K94" s="49"/>
      <c r="L94" s="49"/>
      <c r="M94" s="55"/>
    </row>
    <row r="95" spans="1:13" ht="14.25" customHeight="1">
      <c r="A95" s="68"/>
      <c r="B95" s="49"/>
      <c r="C95" s="49"/>
      <c r="D95" s="53"/>
      <c r="E95" s="54"/>
      <c r="F95" s="53"/>
      <c r="G95" s="54"/>
      <c r="I95" s="49"/>
      <c r="J95" s="54"/>
      <c r="K95" s="49"/>
      <c r="L95" s="49"/>
      <c r="M95" s="55"/>
    </row>
    <row r="96" spans="1:13" ht="14.25" customHeight="1">
      <c r="A96" s="68"/>
      <c r="B96" s="49"/>
      <c r="C96" s="49"/>
      <c r="D96" s="53"/>
      <c r="E96" s="54"/>
      <c r="F96" s="53"/>
      <c r="G96" s="54"/>
      <c r="I96" s="49"/>
      <c r="J96" s="54"/>
      <c r="K96" s="49"/>
      <c r="L96" s="49"/>
      <c r="M96" s="55"/>
    </row>
    <row r="97" spans="1:13" ht="14.25" customHeight="1" thickBot="1">
      <c r="A97" s="48"/>
      <c r="H97" s="69"/>
      <c r="I97" s="70"/>
      <c r="J97" s="69"/>
      <c r="K97" s="70"/>
      <c r="L97" s="70"/>
      <c r="M97" s="36"/>
    </row>
    <row r="98" spans="1:13" ht="14.25" customHeight="1">
      <c r="A98" s="48"/>
      <c r="I98" s="40" t="s">
        <v>31</v>
      </c>
      <c r="M98" s="36"/>
    </row>
    <row r="99" spans="1:13" ht="14.25" customHeight="1">
      <c r="A99" s="48"/>
      <c r="M99" s="36"/>
    </row>
    <row r="100" spans="1:13" ht="14.25" customHeight="1" thickBot="1">
      <c r="A100" s="71"/>
      <c r="B100" s="70"/>
      <c r="C100" s="70"/>
      <c r="D100" s="72"/>
      <c r="E100" s="69"/>
      <c r="F100" s="72"/>
      <c r="G100" s="69"/>
      <c r="H100" s="69"/>
      <c r="I100" s="70"/>
      <c r="J100" s="69"/>
      <c r="K100" s="70"/>
      <c r="L100" s="70"/>
      <c r="M100" s="73"/>
    </row>
    <row r="101" spans="1:13" ht="14.25" customHeight="1"/>
    <row r="102" spans="1:13" ht="14.25" customHeight="1"/>
    <row r="103" spans="1:13" ht="14.25" customHeight="1"/>
    <row r="104" spans="1:13" ht="14.25" customHeight="1"/>
    <row r="105" spans="1:13" ht="14.25" customHeight="1"/>
    <row r="106" spans="1:13" ht="14.25" customHeight="1"/>
    <row r="107" spans="1:13" ht="14.25" customHeight="1"/>
    <row r="108" spans="1:13" ht="14.25" customHeight="1"/>
    <row r="109" spans="1:13" ht="14.25" customHeight="1"/>
    <row r="110" spans="1:13" ht="14.25" customHeight="1"/>
    <row r="111" spans="1:13" ht="14.25" customHeight="1"/>
    <row r="112" spans="1:1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</sheetData>
  <mergeCells count="1">
    <mergeCell ref="A12:H12"/>
  </mergeCells>
  <phoneticPr fontId="2" type="noConversion"/>
  <dataValidations count="2">
    <dataValidation type="list" allowBlank="1" showErrorMessage="1" sqref="G22:G80" xr:uid="{15A587E3-6441-4FA7-A13F-B87933CC26F6}">
      <formula1>"Dress,Hat,Headware,Hoodie,Jacket,Jacket Waterproof ,Jacket Waterresistent ,Jumpsuit,Outerwear,Pants,Shacket,Shirt,Short,Skirt,Socks,Sweater,Tank,Top,T-shirt,Vest,Bag,Bottle,Other"</formula1>
    </dataValidation>
    <dataValidation type="list" allowBlank="1" showErrorMessage="1" sqref="H22:H80" xr:uid="{A056B96A-01F7-41D8-BA07-70CB408392FE}">
      <formula1>"Mens,Womens,Ungendered"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040D-9257-4B2F-833D-EC854FA3CE61}">
  <dimension ref="A1:N86"/>
  <sheetViews>
    <sheetView tabSelected="1" topLeftCell="A51" zoomScale="115" zoomScaleNormal="115" workbookViewId="0">
      <selection activeCell="C87" sqref="C87"/>
    </sheetView>
  </sheetViews>
  <sheetFormatPr defaultRowHeight="14.5"/>
  <cols>
    <col min="1" max="1" width="8" customWidth="1"/>
    <col min="2" max="2" width="7.26953125" customWidth="1"/>
    <col min="3" max="3" width="8" bestFit="1" customWidth="1"/>
    <col min="4" max="4" width="9.7265625" customWidth="1"/>
    <col min="5" max="5" width="23.453125" style="102" bestFit="1" customWidth="1"/>
    <col min="6" max="6" width="11.26953125" bestFit="1" customWidth="1"/>
    <col min="7" max="7" width="16.81640625" bestFit="1" customWidth="1"/>
    <col min="8" max="8" width="26.453125" bestFit="1" customWidth="1"/>
    <col min="9" max="9" width="6.7265625" bestFit="1" customWidth="1"/>
    <col min="10" max="10" width="9.81640625" customWidth="1"/>
    <col min="11" max="11" width="10.453125" customWidth="1"/>
    <col min="12" max="13" width="9.1796875" customWidth="1"/>
    <col min="17" max="17" width="9.1796875" customWidth="1"/>
  </cols>
  <sheetData>
    <row r="1" spans="1:14" s="6" customFormat="1" ht="15" customHeight="1">
      <c r="A1" s="2" t="s">
        <v>44</v>
      </c>
      <c r="B1" s="3"/>
      <c r="C1" s="4"/>
      <c r="D1" s="4"/>
      <c r="E1" s="22"/>
      <c r="F1" s="22"/>
      <c r="G1" s="5"/>
      <c r="H1" s="150" t="s">
        <v>34</v>
      </c>
      <c r="I1" s="151"/>
      <c r="J1" s="152"/>
      <c r="K1" s="153" t="s">
        <v>57</v>
      </c>
      <c r="L1" s="154"/>
      <c r="M1" s="5"/>
      <c r="N1" s="5"/>
    </row>
    <row r="2" spans="1:14" s="6" customFormat="1" ht="13">
      <c r="A2" s="1" t="s">
        <v>32</v>
      </c>
      <c r="B2" s="7"/>
      <c r="C2" s="8"/>
      <c r="D2" s="8"/>
      <c r="E2" s="19"/>
      <c r="F2" s="19"/>
      <c r="G2" s="9"/>
      <c r="H2" s="155" t="s">
        <v>35</v>
      </c>
      <c r="I2" s="156"/>
      <c r="J2" s="157"/>
      <c r="K2" s="158" t="s">
        <v>140</v>
      </c>
      <c r="L2" s="159"/>
      <c r="M2" s="9"/>
      <c r="N2" s="9"/>
    </row>
    <row r="3" spans="1:14" s="6" customFormat="1" ht="15.5">
      <c r="A3" s="74" t="s">
        <v>54</v>
      </c>
      <c r="B3" s="7"/>
      <c r="C3" s="8"/>
      <c r="D3" s="8"/>
      <c r="E3" s="19"/>
      <c r="F3" s="19"/>
      <c r="G3" s="10"/>
      <c r="H3" s="155" t="s">
        <v>36</v>
      </c>
      <c r="I3" s="156"/>
      <c r="J3" s="157"/>
      <c r="K3" s="160"/>
      <c r="L3" s="161"/>
      <c r="M3" s="10"/>
      <c r="N3" s="10"/>
    </row>
    <row r="4" spans="1:14" s="6" customFormat="1" ht="15.5">
      <c r="A4" s="74" t="s">
        <v>55</v>
      </c>
      <c r="B4" s="7"/>
      <c r="C4" s="8"/>
      <c r="D4" s="8"/>
      <c r="E4" s="19"/>
      <c r="F4" s="19"/>
      <c r="G4" s="9"/>
      <c r="H4" s="155" t="s">
        <v>37</v>
      </c>
      <c r="I4" s="156"/>
      <c r="J4" s="157"/>
      <c r="K4" s="160"/>
      <c r="L4" s="161"/>
      <c r="M4" s="9"/>
      <c r="N4" s="9"/>
    </row>
    <row r="5" spans="1:14" s="6" customFormat="1" ht="15.5">
      <c r="A5" s="74" t="s">
        <v>56</v>
      </c>
      <c r="B5" s="7"/>
      <c r="C5" s="8"/>
      <c r="D5" s="8"/>
      <c r="E5" s="19"/>
      <c r="F5" s="19"/>
      <c r="G5" s="9"/>
      <c r="H5" s="155" t="s">
        <v>38</v>
      </c>
      <c r="I5" s="156"/>
      <c r="J5" s="157"/>
      <c r="K5" s="162"/>
      <c r="L5" s="163"/>
      <c r="M5" s="9"/>
      <c r="N5" s="9"/>
    </row>
    <row r="6" spans="1:14" s="6" customFormat="1" ht="15.75" customHeight="1" thickBot="1">
      <c r="A6" s="11"/>
      <c r="B6" s="7"/>
      <c r="C6" s="8"/>
      <c r="D6" s="8"/>
      <c r="E6" s="19"/>
      <c r="F6" s="19"/>
      <c r="G6" s="12"/>
      <c r="H6" s="164" t="s">
        <v>39</v>
      </c>
      <c r="I6" s="165"/>
      <c r="J6" s="166"/>
      <c r="K6" s="167"/>
      <c r="L6" s="168"/>
      <c r="M6" s="12"/>
      <c r="N6" s="12"/>
    </row>
    <row r="7" spans="1:14" s="6" customFormat="1" ht="13">
      <c r="A7" s="169" t="s">
        <v>45</v>
      </c>
      <c r="B7" s="170"/>
      <c r="C7" s="170"/>
      <c r="D7" s="170"/>
      <c r="E7" s="170"/>
      <c r="F7" s="170"/>
      <c r="G7" s="170"/>
      <c r="H7" s="170"/>
      <c r="I7" s="170"/>
      <c r="J7" s="170"/>
      <c r="K7" s="170"/>
      <c r="L7" s="171"/>
      <c r="M7" s="13"/>
      <c r="N7" s="13"/>
    </row>
    <row r="8" spans="1:14" s="6" customFormat="1" ht="13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4"/>
      <c r="M8" s="13"/>
      <c r="N8" s="13"/>
    </row>
    <row r="9" spans="1:14" s="6" customFormat="1" ht="13">
      <c r="A9" s="16" t="s">
        <v>11</v>
      </c>
      <c r="B9" s="17"/>
      <c r="C9" s="18"/>
      <c r="D9" s="18"/>
      <c r="H9" s="23" t="s">
        <v>12</v>
      </c>
      <c r="I9" s="12"/>
      <c r="J9" s="12"/>
      <c r="K9" s="12"/>
      <c r="L9" s="20"/>
      <c r="M9" s="12"/>
      <c r="N9" s="12"/>
    </row>
    <row r="10" spans="1:14" s="6" customFormat="1">
      <c r="A10" s="95" t="s">
        <v>136</v>
      </c>
      <c r="B10" s="17"/>
      <c r="C10" s="18"/>
      <c r="D10" s="18"/>
      <c r="H10" s="24" t="str">
        <f>[1]INV!D12</f>
        <v>Tentree International Inc</v>
      </c>
      <c r="I10" s="12"/>
      <c r="J10" s="12"/>
      <c r="K10" s="12"/>
      <c r="L10" s="20"/>
      <c r="M10" s="12"/>
      <c r="N10" s="12"/>
    </row>
    <row r="11" spans="1:14" s="6" customFormat="1">
      <c r="A11" s="95" t="s">
        <v>47</v>
      </c>
      <c r="B11" s="17"/>
      <c r="C11" s="18"/>
      <c r="D11" s="18"/>
      <c r="H11" s="24" t="str">
        <f>[1]INV!D13</f>
        <v>1275 Venables St, Unit 230</v>
      </c>
      <c r="I11" s="12"/>
      <c r="J11" s="12"/>
      <c r="K11" s="12"/>
      <c r="L11" s="20"/>
      <c r="M11" s="12"/>
      <c r="N11" s="12"/>
    </row>
    <row r="12" spans="1:14" s="6" customFormat="1" ht="12" customHeight="1">
      <c r="A12" s="95" t="s">
        <v>48</v>
      </c>
      <c r="B12" s="17"/>
      <c r="C12" s="18"/>
      <c r="D12" s="18"/>
      <c r="H12" s="24" t="str">
        <f>[1]INV!D14</f>
        <v>Vancouver BC</v>
      </c>
      <c r="I12" s="12"/>
      <c r="J12" s="12"/>
      <c r="K12" s="12"/>
      <c r="L12" s="20"/>
      <c r="M12" s="12"/>
      <c r="N12" s="12"/>
    </row>
    <row r="13" spans="1:14" s="6" customFormat="1">
      <c r="A13" s="95" t="s">
        <v>49</v>
      </c>
      <c r="B13" s="17"/>
      <c r="C13" s="18"/>
      <c r="D13" s="18"/>
      <c r="H13" s="24" t="str">
        <f>[1]INV!D15</f>
        <v>V6A 2E4 Canada</v>
      </c>
      <c r="I13" s="12"/>
      <c r="J13" s="12"/>
      <c r="K13" s="12"/>
      <c r="L13" s="20"/>
      <c r="M13" s="12"/>
      <c r="N13" s="12"/>
    </row>
    <row r="14" spans="1:14" s="6" customFormat="1">
      <c r="A14" s="95" t="s">
        <v>50</v>
      </c>
      <c r="B14" s="17"/>
      <c r="C14" s="18"/>
      <c r="D14" s="18"/>
      <c r="H14" s="24" t="str">
        <f>[1]INV!D16</f>
        <v>Phone - +1 604-829-2706</v>
      </c>
      <c r="I14" s="12"/>
      <c r="J14" s="12"/>
      <c r="K14" s="12"/>
      <c r="L14" s="20"/>
      <c r="M14" s="12"/>
      <c r="N14" s="12"/>
    </row>
    <row r="15" spans="1:14" s="6" customFormat="1" ht="13">
      <c r="A15" s="21"/>
      <c r="B15" s="17"/>
      <c r="C15" s="18"/>
      <c r="D15" s="18"/>
      <c r="H15" s="24" t="str">
        <f>[1]INV!D17</f>
        <v>logistics@tentree.com</v>
      </c>
      <c r="I15" s="12"/>
      <c r="J15" s="12"/>
      <c r="K15" s="12"/>
      <c r="L15" s="20"/>
      <c r="M15" s="12"/>
      <c r="N15" s="12"/>
    </row>
    <row r="16" spans="1:14">
      <c r="A16" s="96"/>
      <c r="L16" s="97"/>
    </row>
    <row r="17" spans="1:12">
      <c r="A17" s="96"/>
      <c r="L17" s="97"/>
    </row>
    <row r="18" spans="1:12" ht="15" thickBot="1">
      <c r="A18" s="98"/>
      <c r="B18" s="93"/>
      <c r="C18" s="94"/>
      <c r="D18" s="93"/>
      <c r="E18" s="93"/>
      <c r="F18" s="93"/>
      <c r="G18" s="93"/>
      <c r="H18" s="93"/>
      <c r="I18" s="93"/>
      <c r="J18" s="99"/>
      <c r="K18" s="99"/>
      <c r="L18" s="100"/>
    </row>
    <row r="19" spans="1:12" ht="19.5" customHeight="1" thickBot="1">
      <c r="A19" s="103" t="s">
        <v>46</v>
      </c>
      <c r="B19" s="104"/>
      <c r="C19" s="105" t="s">
        <v>131</v>
      </c>
      <c r="D19" s="104" t="s">
        <v>0</v>
      </c>
      <c r="E19" s="104" t="s">
        <v>18</v>
      </c>
      <c r="F19" s="104" t="s">
        <v>19</v>
      </c>
      <c r="G19" s="104" t="s">
        <v>20</v>
      </c>
      <c r="H19" s="104" t="s">
        <v>21</v>
      </c>
      <c r="I19" s="106" t="s">
        <v>40</v>
      </c>
      <c r="J19" s="107" t="s">
        <v>41</v>
      </c>
      <c r="K19" s="107" t="s">
        <v>42</v>
      </c>
      <c r="L19" s="108" t="s">
        <v>43</v>
      </c>
    </row>
    <row r="20" spans="1:12" s="87" customFormat="1" ht="12">
      <c r="A20" s="134"/>
      <c r="B20" s="135"/>
      <c r="C20" s="135"/>
      <c r="D20" s="135"/>
      <c r="E20" s="135"/>
      <c r="F20" s="135"/>
      <c r="G20" s="136"/>
      <c r="H20" s="135"/>
      <c r="I20" s="137"/>
      <c r="J20" s="138"/>
      <c r="K20" s="138"/>
      <c r="L20" s="139"/>
    </row>
    <row r="21" spans="1:12" s="87" customFormat="1" ht="12">
      <c r="A21" s="91">
        <v>1</v>
      </c>
      <c r="B21" s="132">
        <v>1</v>
      </c>
      <c r="C21" s="88">
        <v>1</v>
      </c>
      <c r="D21" s="84" t="s">
        <v>135</v>
      </c>
      <c r="E21" s="85" t="s">
        <v>63</v>
      </c>
      <c r="F21" s="109" t="s">
        <v>64</v>
      </c>
      <c r="G21" s="85" t="s">
        <v>60</v>
      </c>
      <c r="H21" s="85" t="s">
        <v>65</v>
      </c>
      <c r="I21" s="125">
        <v>12</v>
      </c>
      <c r="J21" s="101">
        <v>8.8000000000000007</v>
      </c>
      <c r="K21" s="101">
        <v>10.38</v>
      </c>
      <c r="L21" s="140" t="s">
        <v>61</v>
      </c>
    </row>
    <row r="22" spans="1:12" s="87" customFormat="1" ht="12">
      <c r="A22" s="89">
        <v>2</v>
      </c>
      <c r="B22" s="86">
        <v>2</v>
      </c>
      <c r="C22" s="88">
        <v>1</v>
      </c>
      <c r="D22" s="84" t="s">
        <v>135</v>
      </c>
      <c r="E22" s="85" t="s">
        <v>63</v>
      </c>
      <c r="F22" s="109" t="s">
        <v>64</v>
      </c>
      <c r="G22" s="85" t="s">
        <v>60</v>
      </c>
      <c r="H22" s="85" t="s">
        <v>65</v>
      </c>
      <c r="I22" s="125">
        <v>11</v>
      </c>
      <c r="J22" s="101">
        <v>8.14</v>
      </c>
      <c r="K22" s="101">
        <v>9.64</v>
      </c>
      <c r="L22" s="140" t="s">
        <v>61</v>
      </c>
    </row>
    <row r="23" spans="1:12" s="87" customFormat="1" ht="12">
      <c r="A23" s="89">
        <v>3</v>
      </c>
      <c r="B23" s="86">
        <v>7</v>
      </c>
      <c r="C23" s="88">
        <v>5</v>
      </c>
      <c r="D23" s="84" t="s">
        <v>135</v>
      </c>
      <c r="E23" s="85" t="s">
        <v>68</v>
      </c>
      <c r="F23" s="109" t="s">
        <v>69</v>
      </c>
      <c r="G23" s="85" t="s">
        <v>60</v>
      </c>
      <c r="H23" s="85" t="s">
        <v>65</v>
      </c>
      <c r="I23" s="125">
        <v>60</v>
      </c>
      <c r="J23" s="101">
        <v>45.6</v>
      </c>
      <c r="K23" s="101">
        <v>53.1</v>
      </c>
      <c r="L23" s="140" t="s">
        <v>61</v>
      </c>
    </row>
    <row r="24" spans="1:12" s="87" customFormat="1" ht="12">
      <c r="A24" s="89">
        <v>8</v>
      </c>
      <c r="B24" s="86">
        <v>13</v>
      </c>
      <c r="C24" s="88">
        <v>6</v>
      </c>
      <c r="D24" s="84" t="s">
        <v>135</v>
      </c>
      <c r="E24" s="85" t="s">
        <v>70</v>
      </c>
      <c r="F24" s="109" t="s">
        <v>71</v>
      </c>
      <c r="G24" s="85" t="s">
        <v>60</v>
      </c>
      <c r="H24" s="85" t="s">
        <v>65</v>
      </c>
      <c r="I24" s="125">
        <v>72</v>
      </c>
      <c r="J24" s="101">
        <v>59.76</v>
      </c>
      <c r="K24" s="101">
        <v>68.760000000000005</v>
      </c>
      <c r="L24" s="140" t="s">
        <v>61</v>
      </c>
    </row>
    <row r="25" spans="1:12" s="87" customFormat="1" ht="12">
      <c r="A25" s="89">
        <v>14</v>
      </c>
      <c r="B25" s="86">
        <v>14</v>
      </c>
      <c r="C25" s="88">
        <v>1</v>
      </c>
      <c r="D25" s="84" t="s">
        <v>135</v>
      </c>
      <c r="E25" s="85" t="s">
        <v>70</v>
      </c>
      <c r="F25" s="109" t="s">
        <v>71</v>
      </c>
      <c r="G25" s="85" t="s">
        <v>60</v>
      </c>
      <c r="H25" s="85" t="s">
        <v>65</v>
      </c>
      <c r="I25" s="125">
        <v>12</v>
      </c>
      <c r="J25" s="101">
        <v>9.9600000000000009</v>
      </c>
      <c r="K25" s="101">
        <v>11.46</v>
      </c>
      <c r="L25" s="140" t="s">
        <v>61</v>
      </c>
    </row>
    <row r="26" spans="1:12" s="87" customFormat="1" ht="12">
      <c r="A26" s="89">
        <v>15</v>
      </c>
      <c r="B26" s="86">
        <v>17</v>
      </c>
      <c r="C26" s="88">
        <v>3</v>
      </c>
      <c r="D26" s="84" t="s">
        <v>135</v>
      </c>
      <c r="E26" s="85" t="s">
        <v>66</v>
      </c>
      <c r="F26" s="109" t="s">
        <v>67</v>
      </c>
      <c r="G26" s="85" t="s">
        <v>60</v>
      </c>
      <c r="H26" s="85" t="s">
        <v>65</v>
      </c>
      <c r="I26" s="125">
        <v>36</v>
      </c>
      <c r="J26" s="101">
        <v>31.32</v>
      </c>
      <c r="K26" s="101">
        <v>35.82</v>
      </c>
      <c r="L26" s="140" t="s">
        <v>61</v>
      </c>
    </row>
    <row r="27" spans="1:12" s="87" customFormat="1" ht="12">
      <c r="A27" s="89">
        <v>18</v>
      </c>
      <c r="B27" s="86">
        <v>18</v>
      </c>
      <c r="C27" s="88">
        <v>1</v>
      </c>
      <c r="D27" s="84" t="s">
        <v>135</v>
      </c>
      <c r="E27" s="85" t="s">
        <v>66</v>
      </c>
      <c r="F27" s="109" t="s">
        <v>67</v>
      </c>
      <c r="G27" s="85" t="s">
        <v>60</v>
      </c>
      <c r="H27" s="85" t="s">
        <v>65</v>
      </c>
      <c r="I27" s="125">
        <v>10</v>
      </c>
      <c r="J27" s="101">
        <v>8.6999999999999993</v>
      </c>
      <c r="K27" s="101">
        <v>10.199999999999999</v>
      </c>
      <c r="L27" s="140" t="s">
        <v>61</v>
      </c>
    </row>
    <row r="28" spans="1:12" s="87" customFormat="1" ht="12">
      <c r="A28" s="89">
        <v>19</v>
      </c>
      <c r="B28" s="86">
        <v>20</v>
      </c>
      <c r="C28" s="88">
        <v>2</v>
      </c>
      <c r="D28" s="84" t="s">
        <v>135</v>
      </c>
      <c r="E28" s="85" t="s">
        <v>72</v>
      </c>
      <c r="F28" s="109" t="s">
        <v>73</v>
      </c>
      <c r="G28" s="85" t="s">
        <v>60</v>
      </c>
      <c r="H28" s="85" t="s">
        <v>65</v>
      </c>
      <c r="I28" s="125">
        <v>20</v>
      </c>
      <c r="J28" s="101">
        <v>18.399999999999999</v>
      </c>
      <c r="K28" s="101">
        <v>21.4</v>
      </c>
      <c r="L28" s="140" t="s">
        <v>61</v>
      </c>
    </row>
    <row r="29" spans="1:12" s="87" customFormat="1" ht="15" customHeight="1">
      <c r="A29" s="147">
        <v>21</v>
      </c>
      <c r="B29" s="148">
        <v>21</v>
      </c>
      <c r="C29" s="148">
        <v>1</v>
      </c>
      <c r="D29" s="84" t="s">
        <v>135</v>
      </c>
      <c r="E29" s="85" t="s">
        <v>70</v>
      </c>
      <c r="F29" s="109" t="s">
        <v>71</v>
      </c>
      <c r="G29" s="85" t="s">
        <v>60</v>
      </c>
      <c r="H29" s="85" t="s">
        <v>65</v>
      </c>
      <c r="I29" s="125">
        <v>5</v>
      </c>
      <c r="J29" s="101">
        <v>3.8</v>
      </c>
      <c r="K29" s="172">
        <v>9.02</v>
      </c>
      <c r="L29" s="149" t="s">
        <v>61</v>
      </c>
    </row>
    <row r="30" spans="1:12" s="87" customFormat="1" ht="12">
      <c r="A30" s="147"/>
      <c r="B30" s="148"/>
      <c r="C30" s="148"/>
      <c r="D30" s="84" t="s">
        <v>135</v>
      </c>
      <c r="E30" s="85" t="s">
        <v>72</v>
      </c>
      <c r="F30" s="109" t="s">
        <v>73</v>
      </c>
      <c r="G30" s="85" t="s">
        <v>60</v>
      </c>
      <c r="H30" s="85" t="s">
        <v>65</v>
      </c>
      <c r="I30" s="125">
        <v>6</v>
      </c>
      <c r="J30" s="101">
        <v>5.22</v>
      </c>
      <c r="K30" s="172"/>
      <c r="L30" s="149"/>
    </row>
    <row r="31" spans="1:12" s="87" customFormat="1" ht="12">
      <c r="A31" s="89"/>
      <c r="B31" s="88"/>
      <c r="C31" s="90">
        <f>SUM(C21:C30)</f>
        <v>21</v>
      </c>
      <c r="D31" s="84"/>
      <c r="E31" s="85"/>
      <c r="F31" s="109"/>
      <c r="G31" s="85"/>
      <c r="H31" s="85"/>
      <c r="I31" s="90"/>
      <c r="J31" s="133"/>
      <c r="K31" s="133"/>
      <c r="L31" s="140"/>
    </row>
    <row r="32" spans="1:12" s="87" customFormat="1" ht="12">
      <c r="A32" s="91">
        <v>22</v>
      </c>
      <c r="B32" s="86">
        <v>22</v>
      </c>
      <c r="C32" s="88">
        <v>1</v>
      </c>
      <c r="D32" s="84" t="s">
        <v>135</v>
      </c>
      <c r="E32" s="85" t="s">
        <v>74</v>
      </c>
      <c r="F32" s="109" t="s">
        <v>75</v>
      </c>
      <c r="G32" s="85" t="s">
        <v>76</v>
      </c>
      <c r="H32" s="85" t="s">
        <v>77</v>
      </c>
      <c r="I32" s="125">
        <v>12</v>
      </c>
      <c r="J32" s="101">
        <v>10.8</v>
      </c>
      <c r="K32" s="101">
        <v>12.3</v>
      </c>
      <c r="L32" s="140" t="s">
        <v>61</v>
      </c>
    </row>
    <row r="33" spans="1:12" s="87" customFormat="1" ht="12">
      <c r="A33" s="89">
        <v>23</v>
      </c>
      <c r="B33" s="86">
        <v>27</v>
      </c>
      <c r="C33" s="88">
        <v>5</v>
      </c>
      <c r="D33" s="84" t="s">
        <v>135</v>
      </c>
      <c r="E33" s="85" t="s">
        <v>82</v>
      </c>
      <c r="F33" s="109" t="s">
        <v>83</v>
      </c>
      <c r="G33" s="85" t="s">
        <v>76</v>
      </c>
      <c r="H33" s="85" t="s">
        <v>77</v>
      </c>
      <c r="I33" s="125">
        <v>60</v>
      </c>
      <c r="J33" s="101">
        <v>54</v>
      </c>
      <c r="K33" s="101">
        <v>61.5</v>
      </c>
      <c r="L33" s="140" t="s">
        <v>61</v>
      </c>
    </row>
    <row r="34" spans="1:12" s="87" customFormat="1" ht="12">
      <c r="A34" s="89">
        <v>28</v>
      </c>
      <c r="B34" s="86">
        <v>34</v>
      </c>
      <c r="C34" s="88">
        <v>7</v>
      </c>
      <c r="D34" s="84" t="s">
        <v>135</v>
      </c>
      <c r="E34" s="85" t="s">
        <v>84</v>
      </c>
      <c r="F34" s="109" t="s">
        <v>85</v>
      </c>
      <c r="G34" s="85" t="s">
        <v>76</v>
      </c>
      <c r="H34" s="85" t="s">
        <v>77</v>
      </c>
      <c r="I34" s="125">
        <v>84</v>
      </c>
      <c r="J34" s="101">
        <v>75.599999999999994</v>
      </c>
      <c r="K34" s="101">
        <v>86.1</v>
      </c>
      <c r="L34" s="140" t="s">
        <v>61</v>
      </c>
    </row>
    <row r="35" spans="1:12" s="87" customFormat="1" ht="12">
      <c r="A35" s="89">
        <v>35</v>
      </c>
      <c r="B35" s="86">
        <v>35</v>
      </c>
      <c r="C35" s="88">
        <v>1</v>
      </c>
      <c r="D35" s="84" t="s">
        <v>135</v>
      </c>
      <c r="E35" s="85" t="s">
        <v>84</v>
      </c>
      <c r="F35" s="109" t="s">
        <v>85</v>
      </c>
      <c r="G35" s="85" t="s">
        <v>76</v>
      </c>
      <c r="H35" s="85" t="s">
        <v>77</v>
      </c>
      <c r="I35" s="125">
        <v>13</v>
      </c>
      <c r="J35" s="101">
        <v>11.7</v>
      </c>
      <c r="K35" s="101">
        <v>13.2</v>
      </c>
      <c r="L35" s="140" t="s">
        <v>61</v>
      </c>
    </row>
    <row r="36" spans="1:12" s="87" customFormat="1" ht="12">
      <c r="A36" s="89">
        <v>36</v>
      </c>
      <c r="B36" s="86">
        <v>40</v>
      </c>
      <c r="C36" s="88">
        <v>5</v>
      </c>
      <c r="D36" s="84" t="s">
        <v>135</v>
      </c>
      <c r="E36" s="85" t="s">
        <v>78</v>
      </c>
      <c r="F36" s="109" t="s">
        <v>79</v>
      </c>
      <c r="G36" s="85" t="s">
        <v>76</v>
      </c>
      <c r="H36" s="85" t="s">
        <v>77</v>
      </c>
      <c r="I36" s="125">
        <v>60</v>
      </c>
      <c r="J36" s="101">
        <v>54</v>
      </c>
      <c r="K36" s="101">
        <v>61.5</v>
      </c>
      <c r="L36" s="140" t="s">
        <v>61</v>
      </c>
    </row>
    <row r="37" spans="1:12" s="87" customFormat="1" ht="12">
      <c r="A37" s="89">
        <v>41</v>
      </c>
      <c r="B37" s="86">
        <v>42</v>
      </c>
      <c r="C37" s="88">
        <v>2</v>
      </c>
      <c r="D37" s="84" t="s">
        <v>135</v>
      </c>
      <c r="E37" s="85" t="s">
        <v>80</v>
      </c>
      <c r="F37" s="109" t="s">
        <v>81</v>
      </c>
      <c r="G37" s="85" t="s">
        <v>76</v>
      </c>
      <c r="H37" s="85" t="s">
        <v>77</v>
      </c>
      <c r="I37" s="125">
        <v>24</v>
      </c>
      <c r="J37" s="101">
        <v>21.6</v>
      </c>
      <c r="K37" s="101">
        <v>24.6</v>
      </c>
      <c r="L37" s="140" t="s">
        <v>61</v>
      </c>
    </row>
    <row r="38" spans="1:12" s="87" customFormat="1" ht="12">
      <c r="A38" s="147">
        <v>43</v>
      </c>
      <c r="B38" s="148">
        <v>43</v>
      </c>
      <c r="C38" s="148">
        <v>1</v>
      </c>
      <c r="D38" s="84" t="s">
        <v>135</v>
      </c>
      <c r="E38" s="85" t="s">
        <v>74</v>
      </c>
      <c r="F38" s="109" t="s">
        <v>75</v>
      </c>
      <c r="G38" s="85" t="s">
        <v>76</v>
      </c>
      <c r="H38" s="85" t="s">
        <v>77</v>
      </c>
      <c r="I38" s="125">
        <v>7</v>
      </c>
      <c r="J38" s="101">
        <v>6.3</v>
      </c>
      <c r="K38" s="172">
        <v>12.6</v>
      </c>
      <c r="L38" s="149" t="s">
        <v>61</v>
      </c>
    </row>
    <row r="39" spans="1:12" s="87" customFormat="1" ht="12">
      <c r="A39" s="147"/>
      <c r="B39" s="148"/>
      <c r="C39" s="148"/>
      <c r="D39" s="84" t="s">
        <v>135</v>
      </c>
      <c r="E39" s="85" t="s">
        <v>82</v>
      </c>
      <c r="F39" s="109" t="s">
        <v>83</v>
      </c>
      <c r="G39" s="85" t="s">
        <v>76</v>
      </c>
      <c r="H39" s="85" t="s">
        <v>77</v>
      </c>
      <c r="I39" s="125">
        <v>7</v>
      </c>
      <c r="J39" s="101">
        <v>6.3</v>
      </c>
      <c r="K39" s="172"/>
      <c r="L39" s="149"/>
    </row>
    <row r="40" spans="1:12" s="87" customFormat="1" ht="12">
      <c r="A40" s="147">
        <v>44</v>
      </c>
      <c r="B40" s="148">
        <v>44</v>
      </c>
      <c r="C40" s="148">
        <v>1</v>
      </c>
      <c r="D40" s="84" t="s">
        <v>135</v>
      </c>
      <c r="E40" s="85" t="s">
        <v>78</v>
      </c>
      <c r="F40" s="109" t="s">
        <v>79</v>
      </c>
      <c r="G40" s="85" t="s">
        <v>76</v>
      </c>
      <c r="H40" s="85" t="s">
        <v>77</v>
      </c>
      <c r="I40" s="125">
        <v>6</v>
      </c>
      <c r="J40" s="101">
        <v>5.4</v>
      </c>
      <c r="K40" s="172">
        <v>8.1</v>
      </c>
      <c r="L40" s="149" t="s">
        <v>61</v>
      </c>
    </row>
    <row r="41" spans="1:12" s="87" customFormat="1" ht="12">
      <c r="A41" s="147"/>
      <c r="B41" s="148"/>
      <c r="C41" s="148"/>
      <c r="D41" s="84" t="s">
        <v>135</v>
      </c>
      <c r="E41" s="85" t="s">
        <v>80</v>
      </c>
      <c r="F41" s="109" t="s">
        <v>81</v>
      </c>
      <c r="G41" s="85" t="s">
        <v>76</v>
      </c>
      <c r="H41" s="85" t="s">
        <v>77</v>
      </c>
      <c r="I41" s="125">
        <v>3</v>
      </c>
      <c r="J41" s="101">
        <v>2.7</v>
      </c>
      <c r="K41" s="172"/>
      <c r="L41" s="149"/>
    </row>
    <row r="42" spans="1:12" s="87" customFormat="1" ht="12">
      <c r="A42" s="91"/>
      <c r="B42" s="86"/>
      <c r="C42" s="90">
        <f>SUM(C32:C41)</f>
        <v>23</v>
      </c>
      <c r="D42" s="84"/>
      <c r="E42" s="85"/>
      <c r="F42" s="109"/>
      <c r="G42" s="85"/>
      <c r="H42" s="85"/>
      <c r="I42" s="90"/>
      <c r="J42" s="133"/>
      <c r="K42" s="133"/>
      <c r="L42" s="140"/>
    </row>
    <row r="43" spans="1:12" s="87" customFormat="1" ht="12">
      <c r="A43" s="91">
        <v>45</v>
      </c>
      <c r="B43" s="86">
        <v>45</v>
      </c>
      <c r="C43" s="88">
        <v>1</v>
      </c>
      <c r="D43" s="84" t="s">
        <v>135</v>
      </c>
      <c r="E43" s="85" t="s">
        <v>86</v>
      </c>
      <c r="F43" s="109" t="s">
        <v>87</v>
      </c>
      <c r="G43" s="85" t="s">
        <v>76</v>
      </c>
      <c r="H43" s="85" t="s">
        <v>88</v>
      </c>
      <c r="I43" s="125">
        <v>12</v>
      </c>
      <c r="J43" s="101">
        <v>8.5</v>
      </c>
      <c r="K43" s="101">
        <v>10</v>
      </c>
      <c r="L43" s="140" t="s">
        <v>61</v>
      </c>
    </row>
    <row r="44" spans="1:12" s="87" customFormat="1" ht="12">
      <c r="A44" s="89">
        <v>46</v>
      </c>
      <c r="B44" s="88">
        <v>48</v>
      </c>
      <c r="C44" s="88">
        <v>3</v>
      </c>
      <c r="D44" s="84" t="s">
        <v>135</v>
      </c>
      <c r="E44" s="85" t="s">
        <v>89</v>
      </c>
      <c r="F44" s="109" t="s">
        <v>90</v>
      </c>
      <c r="G44" s="85" t="s">
        <v>76</v>
      </c>
      <c r="H44" s="85" t="s">
        <v>88</v>
      </c>
      <c r="I44" s="125">
        <v>36</v>
      </c>
      <c r="J44" s="101">
        <v>27.3</v>
      </c>
      <c r="K44" s="101">
        <v>31.8</v>
      </c>
      <c r="L44" s="140" t="s">
        <v>61</v>
      </c>
    </row>
    <row r="45" spans="1:12" s="87" customFormat="1" ht="12">
      <c r="A45" s="89">
        <v>49</v>
      </c>
      <c r="B45" s="88">
        <v>51</v>
      </c>
      <c r="C45" s="88">
        <v>3</v>
      </c>
      <c r="D45" s="84" t="s">
        <v>135</v>
      </c>
      <c r="E45" s="85" t="s">
        <v>91</v>
      </c>
      <c r="F45" s="109" t="s">
        <v>92</v>
      </c>
      <c r="G45" s="85" t="s">
        <v>76</v>
      </c>
      <c r="H45" s="85" t="s">
        <v>88</v>
      </c>
      <c r="I45" s="125">
        <v>36</v>
      </c>
      <c r="J45" s="101">
        <v>29.4</v>
      </c>
      <c r="K45" s="101">
        <v>33.9</v>
      </c>
      <c r="L45" s="140" t="s">
        <v>61</v>
      </c>
    </row>
    <row r="46" spans="1:12" s="87" customFormat="1" ht="12">
      <c r="A46" s="89">
        <v>52</v>
      </c>
      <c r="B46" s="88">
        <v>52</v>
      </c>
      <c r="C46" s="88">
        <v>1</v>
      </c>
      <c r="D46" s="84" t="s">
        <v>135</v>
      </c>
      <c r="E46" s="85" t="s">
        <v>91</v>
      </c>
      <c r="F46" s="109" t="s">
        <v>92</v>
      </c>
      <c r="G46" s="85" t="s">
        <v>76</v>
      </c>
      <c r="H46" s="85" t="s">
        <v>88</v>
      </c>
      <c r="I46" s="125">
        <v>11</v>
      </c>
      <c r="J46" s="101">
        <v>9.1999999999999993</v>
      </c>
      <c r="K46" s="101">
        <v>10.7</v>
      </c>
      <c r="L46" s="140" t="s">
        <v>61</v>
      </c>
    </row>
    <row r="47" spans="1:12" s="87" customFormat="1" ht="12">
      <c r="A47" s="89">
        <v>53</v>
      </c>
      <c r="B47" s="88">
        <v>54</v>
      </c>
      <c r="C47" s="88">
        <v>2</v>
      </c>
      <c r="D47" s="84" t="s">
        <v>135</v>
      </c>
      <c r="E47" s="85" t="s">
        <v>93</v>
      </c>
      <c r="F47" s="109" t="s">
        <v>94</v>
      </c>
      <c r="G47" s="85" t="s">
        <v>76</v>
      </c>
      <c r="H47" s="85" t="s">
        <v>88</v>
      </c>
      <c r="I47" s="125">
        <v>24</v>
      </c>
      <c r="J47" s="101">
        <v>20.6</v>
      </c>
      <c r="K47" s="101">
        <v>23.6</v>
      </c>
      <c r="L47" s="140" t="s">
        <v>61</v>
      </c>
    </row>
    <row r="48" spans="1:12" s="87" customFormat="1" ht="12">
      <c r="A48" s="89">
        <v>55</v>
      </c>
      <c r="B48" s="88">
        <v>55</v>
      </c>
      <c r="C48" s="88">
        <v>1</v>
      </c>
      <c r="D48" s="84" t="s">
        <v>135</v>
      </c>
      <c r="E48" s="85" t="s">
        <v>93</v>
      </c>
      <c r="F48" s="109" t="s">
        <v>94</v>
      </c>
      <c r="G48" s="85" t="s">
        <v>76</v>
      </c>
      <c r="H48" s="85" t="s">
        <v>88</v>
      </c>
      <c r="I48" s="125">
        <v>11</v>
      </c>
      <c r="J48" s="101">
        <v>9.6</v>
      </c>
      <c r="K48" s="101">
        <v>11.1</v>
      </c>
      <c r="L48" s="140" t="s">
        <v>61</v>
      </c>
    </row>
    <row r="49" spans="1:12" s="87" customFormat="1" ht="12.75" customHeight="1">
      <c r="A49" s="147">
        <v>56</v>
      </c>
      <c r="B49" s="148">
        <v>56</v>
      </c>
      <c r="C49" s="148">
        <v>1</v>
      </c>
      <c r="D49" s="84" t="s">
        <v>135</v>
      </c>
      <c r="E49" s="85" t="s">
        <v>89</v>
      </c>
      <c r="F49" s="109" t="s">
        <v>90</v>
      </c>
      <c r="G49" s="85" t="s">
        <v>76</v>
      </c>
      <c r="H49" s="85" t="s">
        <v>88</v>
      </c>
      <c r="I49" s="125">
        <v>1</v>
      </c>
      <c r="J49" s="101">
        <v>0.9</v>
      </c>
      <c r="K49" s="172">
        <v>5.0999999999999996</v>
      </c>
      <c r="L49" s="149" t="s">
        <v>62</v>
      </c>
    </row>
    <row r="50" spans="1:12" s="87" customFormat="1" ht="12">
      <c r="A50" s="147"/>
      <c r="B50" s="148"/>
      <c r="C50" s="148"/>
      <c r="D50" s="84" t="s">
        <v>135</v>
      </c>
      <c r="E50" s="85" t="s">
        <v>91</v>
      </c>
      <c r="F50" s="109" t="s">
        <v>92</v>
      </c>
      <c r="G50" s="85" t="s">
        <v>76</v>
      </c>
      <c r="H50" s="85" t="s">
        <v>88</v>
      </c>
      <c r="I50" s="125">
        <v>1</v>
      </c>
      <c r="J50" s="101">
        <v>0.9</v>
      </c>
      <c r="K50" s="172"/>
      <c r="L50" s="149"/>
    </row>
    <row r="51" spans="1:12" s="87" customFormat="1" ht="12">
      <c r="A51" s="147"/>
      <c r="B51" s="148"/>
      <c r="C51" s="148"/>
      <c r="D51" s="84" t="s">
        <v>135</v>
      </c>
      <c r="E51" s="85" t="s">
        <v>95</v>
      </c>
      <c r="F51" s="109" t="s">
        <v>94</v>
      </c>
      <c r="G51" s="85" t="s">
        <v>76</v>
      </c>
      <c r="H51" s="85" t="s">
        <v>88</v>
      </c>
      <c r="I51" s="125">
        <v>2</v>
      </c>
      <c r="J51" s="101">
        <v>1.8</v>
      </c>
      <c r="K51" s="172"/>
      <c r="L51" s="149"/>
    </row>
    <row r="52" spans="1:12" s="87" customFormat="1" ht="12">
      <c r="A52" s="89"/>
      <c r="B52" s="88"/>
      <c r="C52" s="90">
        <f>SUM(C43:C51)</f>
        <v>12</v>
      </c>
      <c r="D52" s="84"/>
      <c r="E52" s="85"/>
      <c r="F52" s="109"/>
      <c r="G52" s="85"/>
      <c r="H52" s="85"/>
      <c r="I52" s="90"/>
      <c r="J52" s="133"/>
      <c r="K52" s="133"/>
      <c r="L52" s="140"/>
    </row>
    <row r="53" spans="1:12" s="87" customFormat="1" ht="12">
      <c r="A53" s="147">
        <v>57</v>
      </c>
      <c r="B53" s="148">
        <v>57</v>
      </c>
      <c r="C53" s="148">
        <v>1</v>
      </c>
      <c r="D53" s="84" t="s">
        <v>135</v>
      </c>
      <c r="E53" s="85" t="s">
        <v>96</v>
      </c>
      <c r="F53" s="109" t="s">
        <v>97</v>
      </c>
      <c r="G53" s="85" t="s">
        <v>76</v>
      </c>
      <c r="H53" s="85" t="s">
        <v>98</v>
      </c>
      <c r="I53" s="125">
        <v>7</v>
      </c>
      <c r="J53" s="101">
        <v>6.3</v>
      </c>
      <c r="K53" s="172">
        <v>11.4</v>
      </c>
      <c r="L53" s="149" t="s">
        <v>61</v>
      </c>
    </row>
    <row r="54" spans="1:12" s="87" customFormat="1" ht="12">
      <c r="A54" s="147"/>
      <c r="B54" s="148"/>
      <c r="C54" s="148"/>
      <c r="D54" s="84" t="s">
        <v>135</v>
      </c>
      <c r="E54" s="85" t="s">
        <v>101</v>
      </c>
      <c r="F54" s="109" t="s">
        <v>102</v>
      </c>
      <c r="G54" s="85" t="s">
        <v>76</v>
      </c>
      <c r="H54" s="85" t="s">
        <v>98</v>
      </c>
      <c r="I54" s="125">
        <v>2</v>
      </c>
      <c r="J54" s="101">
        <v>1.8</v>
      </c>
      <c r="K54" s="172"/>
      <c r="L54" s="149"/>
    </row>
    <row r="55" spans="1:12" s="87" customFormat="1" ht="12">
      <c r="A55" s="147"/>
      <c r="B55" s="148"/>
      <c r="C55" s="148"/>
      <c r="D55" s="84" t="s">
        <v>135</v>
      </c>
      <c r="E55" s="85" t="s">
        <v>103</v>
      </c>
      <c r="F55" s="109" t="s">
        <v>104</v>
      </c>
      <c r="G55" s="85" t="s">
        <v>76</v>
      </c>
      <c r="H55" s="85" t="s">
        <v>98</v>
      </c>
      <c r="I55" s="125">
        <v>2</v>
      </c>
      <c r="J55" s="101">
        <v>1.8</v>
      </c>
      <c r="K55" s="172"/>
      <c r="L55" s="149"/>
    </row>
    <row r="56" spans="1:12" s="87" customFormat="1" ht="12">
      <c r="A56" s="89">
        <v>58</v>
      </c>
      <c r="B56" s="88">
        <v>62</v>
      </c>
      <c r="C56" s="88">
        <v>5</v>
      </c>
      <c r="D56" s="84" t="s">
        <v>135</v>
      </c>
      <c r="E56" s="85" t="s">
        <v>99</v>
      </c>
      <c r="F56" s="109" t="s">
        <v>100</v>
      </c>
      <c r="G56" s="85" t="s">
        <v>76</v>
      </c>
      <c r="H56" s="85" t="s">
        <v>98</v>
      </c>
      <c r="I56" s="125">
        <v>60</v>
      </c>
      <c r="J56" s="101">
        <v>45.6</v>
      </c>
      <c r="K56" s="101">
        <v>53.1</v>
      </c>
      <c r="L56" s="140" t="s">
        <v>61</v>
      </c>
    </row>
    <row r="57" spans="1:12" s="87" customFormat="1" ht="12">
      <c r="A57" s="89">
        <v>63</v>
      </c>
      <c r="B57" s="88">
        <v>63</v>
      </c>
      <c r="C57" s="88">
        <v>1</v>
      </c>
      <c r="D57" s="84" t="s">
        <v>135</v>
      </c>
      <c r="E57" s="85" t="s">
        <v>99</v>
      </c>
      <c r="F57" s="109" t="s">
        <v>100</v>
      </c>
      <c r="G57" s="85" t="s">
        <v>76</v>
      </c>
      <c r="H57" s="85" t="s">
        <v>98</v>
      </c>
      <c r="I57" s="125">
        <v>5</v>
      </c>
      <c r="J57" s="101">
        <v>3.8</v>
      </c>
      <c r="K57" s="101">
        <v>5.3</v>
      </c>
      <c r="L57" s="140" t="s">
        <v>61</v>
      </c>
    </row>
    <row r="58" spans="1:12" s="87" customFormat="1" ht="12">
      <c r="A58" s="89">
        <v>64</v>
      </c>
      <c r="B58" s="88">
        <v>69</v>
      </c>
      <c r="C58" s="88">
        <v>6</v>
      </c>
      <c r="D58" s="84" t="s">
        <v>135</v>
      </c>
      <c r="E58" s="85" t="s">
        <v>101</v>
      </c>
      <c r="F58" s="109" t="s">
        <v>102</v>
      </c>
      <c r="G58" s="85" t="s">
        <v>76</v>
      </c>
      <c r="H58" s="85" t="s">
        <v>98</v>
      </c>
      <c r="I58" s="125">
        <v>72</v>
      </c>
      <c r="J58" s="101">
        <v>59.76</v>
      </c>
      <c r="K58" s="101">
        <v>68.760000000000005</v>
      </c>
      <c r="L58" s="140" t="s">
        <v>61</v>
      </c>
    </row>
    <row r="59" spans="1:12" s="87" customFormat="1" ht="12">
      <c r="A59" s="89">
        <v>70</v>
      </c>
      <c r="B59" s="88">
        <v>73</v>
      </c>
      <c r="C59" s="88">
        <v>4</v>
      </c>
      <c r="D59" s="84" t="s">
        <v>135</v>
      </c>
      <c r="E59" s="85" t="s">
        <v>103</v>
      </c>
      <c r="F59" s="109" t="s">
        <v>104</v>
      </c>
      <c r="G59" s="85" t="s">
        <v>76</v>
      </c>
      <c r="H59" s="85" t="s">
        <v>98</v>
      </c>
      <c r="I59" s="125">
        <v>48</v>
      </c>
      <c r="J59" s="101">
        <v>41.76</v>
      </c>
      <c r="K59" s="101">
        <v>47.7</v>
      </c>
      <c r="L59" s="140" t="s">
        <v>61</v>
      </c>
    </row>
    <row r="60" spans="1:12" s="87" customFormat="1" ht="12">
      <c r="A60" s="89">
        <v>74</v>
      </c>
      <c r="B60" s="88">
        <v>74</v>
      </c>
      <c r="C60" s="88">
        <v>1</v>
      </c>
      <c r="D60" s="84" t="s">
        <v>135</v>
      </c>
      <c r="E60" s="85" t="s">
        <v>105</v>
      </c>
      <c r="F60" s="109" t="s">
        <v>106</v>
      </c>
      <c r="G60" s="85" t="s">
        <v>76</v>
      </c>
      <c r="H60" s="85" t="s">
        <v>98</v>
      </c>
      <c r="I60" s="125">
        <v>12</v>
      </c>
      <c r="J60" s="101">
        <v>11.04</v>
      </c>
      <c r="K60" s="101">
        <v>12.54</v>
      </c>
      <c r="L60" s="140" t="s">
        <v>61</v>
      </c>
    </row>
    <row r="61" spans="1:12" s="87" customFormat="1" ht="12">
      <c r="A61" s="89">
        <v>75</v>
      </c>
      <c r="B61" s="88">
        <v>75</v>
      </c>
      <c r="C61" s="88">
        <v>1</v>
      </c>
      <c r="D61" s="84" t="s">
        <v>135</v>
      </c>
      <c r="E61" s="85" t="s">
        <v>105</v>
      </c>
      <c r="F61" s="109" t="s">
        <v>106</v>
      </c>
      <c r="G61" s="85" t="s">
        <v>76</v>
      </c>
      <c r="H61" s="85" t="s">
        <v>98</v>
      </c>
      <c r="I61" s="125">
        <v>9</v>
      </c>
      <c r="J61" s="101">
        <v>8.2799999999999994</v>
      </c>
      <c r="K61" s="101">
        <v>9.7799999999999994</v>
      </c>
      <c r="L61" s="140" t="s">
        <v>61</v>
      </c>
    </row>
    <row r="62" spans="1:12" s="87" customFormat="1" ht="12">
      <c r="A62" s="91"/>
      <c r="B62" s="86"/>
      <c r="C62" s="90">
        <f>SUM(C53:C61)</f>
        <v>19</v>
      </c>
      <c r="D62" s="84"/>
      <c r="E62" s="85"/>
      <c r="F62" s="109"/>
      <c r="G62" s="85"/>
      <c r="H62" s="85"/>
      <c r="I62" s="90"/>
      <c r="J62" s="133"/>
      <c r="K62" s="133"/>
      <c r="L62" s="140"/>
    </row>
    <row r="63" spans="1:12" s="87" customFormat="1" ht="12">
      <c r="A63" s="91">
        <v>76</v>
      </c>
      <c r="B63" s="86">
        <v>76</v>
      </c>
      <c r="C63" s="88">
        <v>1</v>
      </c>
      <c r="D63" s="84" t="s">
        <v>135</v>
      </c>
      <c r="E63" s="85" t="s">
        <v>107</v>
      </c>
      <c r="F63" s="109" t="s">
        <v>108</v>
      </c>
      <c r="G63" s="85" t="s">
        <v>109</v>
      </c>
      <c r="H63" s="85" t="s">
        <v>110</v>
      </c>
      <c r="I63" s="125">
        <v>12</v>
      </c>
      <c r="J63" s="101">
        <v>11.5</v>
      </c>
      <c r="K63" s="101">
        <v>13</v>
      </c>
      <c r="L63" s="140" t="s">
        <v>61</v>
      </c>
    </row>
    <row r="64" spans="1:12" s="87" customFormat="1" ht="12">
      <c r="A64" s="89">
        <v>77</v>
      </c>
      <c r="B64" s="88">
        <v>79</v>
      </c>
      <c r="C64" s="88">
        <v>3</v>
      </c>
      <c r="D64" s="84" t="s">
        <v>135</v>
      </c>
      <c r="E64" s="85" t="s">
        <v>111</v>
      </c>
      <c r="F64" s="109" t="s">
        <v>112</v>
      </c>
      <c r="G64" s="85" t="s">
        <v>109</v>
      </c>
      <c r="H64" s="85" t="s">
        <v>110</v>
      </c>
      <c r="I64" s="125">
        <v>36</v>
      </c>
      <c r="J64" s="101">
        <v>35.1</v>
      </c>
      <c r="K64" s="101">
        <v>39.6</v>
      </c>
      <c r="L64" s="140" t="s">
        <v>61</v>
      </c>
    </row>
    <row r="65" spans="1:12" s="87" customFormat="1" ht="12">
      <c r="A65" s="89">
        <v>80</v>
      </c>
      <c r="B65" s="88">
        <v>81</v>
      </c>
      <c r="C65" s="88">
        <v>2</v>
      </c>
      <c r="D65" s="84" t="s">
        <v>135</v>
      </c>
      <c r="E65" s="85" t="s">
        <v>113</v>
      </c>
      <c r="F65" s="109" t="s">
        <v>114</v>
      </c>
      <c r="G65" s="85" t="s">
        <v>109</v>
      </c>
      <c r="H65" s="85" t="s">
        <v>110</v>
      </c>
      <c r="I65" s="125">
        <v>24</v>
      </c>
      <c r="J65" s="101">
        <v>25.2</v>
      </c>
      <c r="K65" s="101">
        <v>28.2</v>
      </c>
      <c r="L65" s="140" t="s">
        <v>61</v>
      </c>
    </row>
    <row r="66" spans="1:12" s="87" customFormat="1" ht="12">
      <c r="A66" s="89">
        <v>82</v>
      </c>
      <c r="B66" s="88">
        <v>83</v>
      </c>
      <c r="C66" s="88">
        <v>2</v>
      </c>
      <c r="D66" s="84" t="s">
        <v>135</v>
      </c>
      <c r="E66" s="85" t="s">
        <v>113</v>
      </c>
      <c r="F66" s="109" t="s">
        <v>114</v>
      </c>
      <c r="G66" s="85" t="s">
        <v>109</v>
      </c>
      <c r="H66" s="85" t="s">
        <v>110</v>
      </c>
      <c r="I66" s="125">
        <v>20</v>
      </c>
      <c r="J66" s="101">
        <v>21</v>
      </c>
      <c r="K66" s="101">
        <v>24</v>
      </c>
      <c r="L66" s="140" t="s">
        <v>61</v>
      </c>
    </row>
    <row r="67" spans="1:12" s="87" customFormat="1" ht="12">
      <c r="A67" s="89">
        <v>84</v>
      </c>
      <c r="B67" s="88">
        <v>86</v>
      </c>
      <c r="C67" s="88">
        <v>3</v>
      </c>
      <c r="D67" s="84" t="s">
        <v>135</v>
      </c>
      <c r="E67" s="85" t="s">
        <v>115</v>
      </c>
      <c r="F67" s="109" t="s">
        <v>116</v>
      </c>
      <c r="G67" s="85" t="s">
        <v>109</v>
      </c>
      <c r="H67" s="85" t="s">
        <v>110</v>
      </c>
      <c r="I67" s="125">
        <v>30</v>
      </c>
      <c r="J67" s="101">
        <v>33</v>
      </c>
      <c r="K67" s="101">
        <v>37.5</v>
      </c>
      <c r="L67" s="140" t="s">
        <v>61</v>
      </c>
    </row>
    <row r="68" spans="1:12" s="87" customFormat="1" ht="12">
      <c r="A68" s="89">
        <v>87</v>
      </c>
      <c r="B68" s="88">
        <v>87</v>
      </c>
      <c r="C68" s="88">
        <v>1</v>
      </c>
      <c r="D68" s="84" t="s">
        <v>135</v>
      </c>
      <c r="E68" s="85" t="s">
        <v>117</v>
      </c>
      <c r="F68" s="109" t="s">
        <v>118</v>
      </c>
      <c r="G68" s="85" t="s">
        <v>109</v>
      </c>
      <c r="H68" s="85" t="s">
        <v>110</v>
      </c>
      <c r="I68" s="125">
        <v>10</v>
      </c>
      <c r="J68" s="101">
        <v>11.3</v>
      </c>
      <c r="K68" s="101">
        <v>12.8</v>
      </c>
      <c r="L68" s="140" t="s">
        <v>61</v>
      </c>
    </row>
    <row r="69" spans="1:12" s="87" customFormat="1" ht="12">
      <c r="A69" s="89">
        <v>88</v>
      </c>
      <c r="B69" s="88">
        <v>88</v>
      </c>
      <c r="C69" s="88">
        <v>1</v>
      </c>
      <c r="D69" s="84" t="s">
        <v>135</v>
      </c>
      <c r="E69" s="85" t="s">
        <v>117</v>
      </c>
      <c r="F69" s="109" t="s">
        <v>118</v>
      </c>
      <c r="G69" s="85" t="s">
        <v>109</v>
      </c>
      <c r="H69" s="85" t="s">
        <v>110</v>
      </c>
      <c r="I69" s="125">
        <v>10</v>
      </c>
      <c r="J69" s="101">
        <v>11.3</v>
      </c>
      <c r="K69" s="101">
        <v>12.8</v>
      </c>
      <c r="L69" s="140" t="s">
        <v>61</v>
      </c>
    </row>
    <row r="70" spans="1:12" s="87" customFormat="1" ht="12">
      <c r="A70" s="147">
        <v>89</v>
      </c>
      <c r="B70" s="148">
        <v>89</v>
      </c>
      <c r="C70" s="148">
        <v>1</v>
      </c>
      <c r="D70" s="84" t="s">
        <v>135</v>
      </c>
      <c r="E70" s="85" t="s">
        <v>107</v>
      </c>
      <c r="F70" s="109" t="s">
        <v>108</v>
      </c>
      <c r="G70" s="85" t="s">
        <v>109</v>
      </c>
      <c r="H70" s="85" t="s">
        <v>110</v>
      </c>
      <c r="I70" s="125">
        <v>2</v>
      </c>
      <c r="J70" s="101">
        <v>2</v>
      </c>
      <c r="K70" s="172">
        <v>10.5</v>
      </c>
      <c r="L70" s="149" t="s">
        <v>61</v>
      </c>
    </row>
    <row r="71" spans="1:12" s="87" customFormat="1" ht="12">
      <c r="A71" s="147"/>
      <c r="B71" s="148"/>
      <c r="C71" s="148"/>
      <c r="D71" s="84" t="s">
        <v>135</v>
      </c>
      <c r="E71" s="85" t="s">
        <v>111</v>
      </c>
      <c r="F71" s="109" t="s">
        <v>112</v>
      </c>
      <c r="G71" s="85" t="s">
        <v>109</v>
      </c>
      <c r="H71" s="85" t="s">
        <v>110</v>
      </c>
      <c r="I71" s="125">
        <v>7</v>
      </c>
      <c r="J71" s="101">
        <v>7</v>
      </c>
      <c r="K71" s="172"/>
      <c r="L71" s="149"/>
    </row>
    <row r="72" spans="1:12" s="87" customFormat="1" ht="12.75" customHeight="1">
      <c r="A72" s="147">
        <v>90</v>
      </c>
      <c r="B72" s="148">
        <v>90</v>
      </c>
      <c r="C72" s="148">
        <v>1</v>
      </c>
      <c r="D72" s="84" t="s">
        <v>135</v>
      </c>
      <c r="E72" s="85" t="s">
        <v>113</v>
      </c>
      <c r="F72" s="109" t="s">
        <v>114</v>
      </c>
      <c r="G72" s="85" t="s">
        <v>109</v>
      </c>
      <c r="H72" s="85" t="s">
        <v>110</v>
      </c>
      <c r="I72" s="125">
        <v>3</v>
      </c>
      <c r="J72" s="101">
        <v>3.3</v>
      </c>
      <c r="K72" s="172">
        <v>10.3</v>
      </c>
      <c r="L72" s="149" t="s">
        <v>61</v>
      </c>
    </row>
    <row r="73" spans="1:12" s="87" customFormat="1" ht="12">
      <c r="A73" s="147"/>
      <c r="B73" s="148"/>
      <c r="C73" s="148"/>
      <c r="D73" s="84" t="s">
        <v>135</v>
      </c>
      <c r="E73" s="85" t="s">
        <v>115</v>
      </c>
      <c r="F73" s="109" t="s">
        <v>116</v>
      </c>
      <c r="G73" s="85" t="s">
        <v>109</v>
      </c>
      <c r="H73" s="85" t="s">
        <v>110</v>
      </c>
      <c r="I73" s="125">
        <v>5</v>
      </c>
      <c r="J73" s="101">
        <v>5.5</v>
      </c>
      <c r="K73" s="172"/>
      <c r="L73" s="149"/>
    </row>
    <row r="74" spans="1:12" s="87" customFormat="1" ht="12">
      <c r="A74" s="91"/>
      <c r="B74" s="86"/>
      <c r="C74" s="90">
        <f>SUM(C63:C73)</f>
        <v>15</v>
      </c>
      <c r="D74" s="84"/>
      <c r="E74" s="85"/>
      <c r="F74" s="109"/>
      <c r="G74" s="85"/>
      <c r="H74" s="85"/>
      <c r="I74" s="90"/>
      <c r="J74" s="133"/>
      <c r="K74" s="133"/>
      <c r="L74" s="140"/>
    </row>
    <row r="75" spans="1:12" s="87" customFormat="1" ht="12">
      <c r="A75" s="91">
        <v>91</v>
      </c>
      <c r="B75" s="86">
        <v>91</v>
      </c>
      <c r="C75" s="88">
        <v>1</v>
      </c>
      <c r="D75" s="84" t="s">
        <v>135</v>
      </c>
      <c r="E75" s="85" t="s">
        <v>119</v>
      </c>
      <c r="F75" s="109" t="s">
        <v>120</v>
      </c>
      <c r="G75" s="85" t="s">
        <v>121</v>
      </c>
      <c r="H75" s="85" t="s">
        <v>122</v>
      </c>
      <c r="I75" s="125">
        <v>13</v>
      </c>
      <c r="J75" s="101">
        <v>9.6199999999999992</v>
      </c>
      <c r="K75" s="101">
        <v>103.896</v>
      </c>
      <c r="L75" s="140" t="s">
        <v>61</v>
      </c>
    </row>
    <row r="76" spans="1:12" s="87" customFormat="1" ht="12">
      <c r="A76" s="89">
        <v>92</v>
      </c>
      <c r="B76" s="88">
        <v>92</v>
      </c>
      <c r="C76" s="88">
        <v>1</v>
      </c>
      <c r="D76" s="84" t="s">
        <v>135</v>
      </c>
      <c r="E76" s="85" t="s">
        <v>123</v>
      </c>
      <c r="F76" s="109" t="s">
        <v>124</v>
      </c>
      <c r="G76" s="85" t="s">
        <v>121</v>
      </c>
      <c r="H76" s="85" t="s">
        <v>122</v>
      </c>
      <c r="I76" s="125">
        <v>12</v>
      </c>
      <c r="J76" s="101">
        <v>9.1199999999999992</v>
      </c>
      <c r="K76" s="101">
        <v>10.62</v>
      </c>
      <c r="L76" s="140" t="s">
        <v>61</v>
      </c>
    </row>
    <row r="77" spans="1:12" s="87" customFormat="1" ht="12">
      <c r="A77" s="89">
        <v>93</v>
      </c>
      <c r="B77" s="88">
        <v>93</v>
      </c>
      <c r="C77" s="88">
        <v>1</v>
      </c>
      <c r="D77" s="84" t="s">
        <v>135</v>
      </c>
      <c r="E77" s="85" t="s">
        <v>123</v>
      </c>
      <c r="F77" s="109" t="s">
        <v>124</v>
      </c>
      <c r="G77" s="85" t="s">
        <v>121</v>
      </c>
      <c r="H77" s="85" t="s">
        <v>122</v>
      </c>
      <c r="I77" s="125">
        <v>12</v>
      </c>
      <c r="J77" s="101">
        <v>9.1199999999999992</v>
      </c>
      <c r="K77" s="101">
        <v>10.62</v>
      </c>
      <c r="L77" s="140" t="s">
        <v>61</v>
      </c>
    </row>
    <row r="78" spans="1:12" s="87" customFormat="1" ht="12">
      <c r="A78" s="89">
        <v>94</v>
      </c>
      <c r="B78" s="88">
        <v>96</v>
      </c>
      <c r="C78" s="88">
        <v>3</v>
      </c>
      <c r="D78" s="84" t="s">
        <v>135</v>
      </c>
      <c r="E78" s="85" t="s">
        <v>125</v>
      </c>
      <c r="F78" s="109" t="s">
        <v>126</v>
      </c>
      <c r="G78" s="85" t="s">
        <v>121</v>
      </c>
      <c r="H78" s="85" t="s">
        <v>122</v>
      </c>
      <c r="I78" s="125">
        <v>39</v>
      </c>
      <c r="J78" s="101">
        <v>32.369999999999997</v>
      </c>
      <c r="K78" s="101">
        <v>36.869999999999997</v>
      </c>
      <c r="L78" s="140" t="s">
        <v>61</v>
      </c>
    </row>
    <row r="79" spans="1:12" s="87" customFormat="1" ht="12">
      <c r="A79" s="89">
        <v>97</v>
      </c>
      <c r="B79" s="88">
        <v>97</v>
      </c>
      <c r="C79" s="88">
        <v>1</v>
      </c>
      <c r="D79" s="84" t="s">
        <v>135</v>
      </c>
      <c r="E79" s="85" t="s">
        <v>125</v>
      </c>
      <c r="F79" s="109" t="s">
        <v>126</v>
      </c>
      <c r="G79" s="85" t="s">
        <v>121</v>
      </c>
      <c r="H79" s="85" t="s">
        <v>122</v>
      </c>
      <c r="I79" s="125">
        <v>11</v>
      </c>
      <c r="J79" s="101">
        <v>9.2100000000000009</v>
      </c>
      <c r="K79" s="101">
        <v>10.69</v>
      </c>
      <c r="L79" s="140" t="s">
        <v>61</v>
      </c>
    </row>
    <row r="80" spans="1:12" s="87" customFormat="1" ht="12">
      <c r="A80" s="89">
        <v>98</v>
      </c>
      <c r="B80" s="88">
        <v>102</v>
      </c>
      <c r="C80" s="88">
        <v>5</v>
      </c>
      <c r="D80" s="84" t="s">
        <v>135</v>
      </c>
      <c r="E80" s="85" t="s">
        <v>127</v>
      </c>
      <c r="F80" s="109" t="s">
        <v>128</v>
      </c>
      <c r="G80" s="85" t="s">
        <v>121</v>
      </c>
      <c r="H80" s="85" t="s">
        <v>122</v>
      </c>
      <c r="I80" s="125">
        <v>60</v>
      </c>
      <c r="J80" s="101">
        <v>52.2</v>
      </c>
      <c r="K80" s="101">
        <v>59.7</v>
      </c>
      <c r="L80" s="140" t="s">
        <v>61</v>
      </c>
    </row>
    <row r="81" spans="1:12" s="92" customFormat="1" ht="12">
      <c r="A81" s="89">
        <v>103</v>
      </c>
      <c r="B81" s="88">
        <v>104</v>
      </c>
      <c r="C81" s="88">
        <v>2</v>
      </c>
      <c r="D81" s="84" t="s">
        <v>135</v>
      </c>
      <c r="E81" s="85" t="s">
        <v>129</v>
      </c>
      <c r="F81" s="109" t="s">
        <v>130</v>
      </c>
      <c r="G81" s="85" t="s">
        <v>121</v>
      </c>
      <c r="H81" s="85" t="s">
        <v>122</v>
      </c>
      <c r="I81" s="125">
        <v>24</v>
      </c>
      <c r="J81" s="101">
        <v>22.08</v>
      </c>
      <c r="K81" s="101">
        <v>25.08</v>
      </c>
      <c r="L81" s="140" t="s">
        <v>61</v>
      </c>
    </row>
    <row r="82" spans="1:12" s="87" customFormat="1" ht="12.75" customHeight="1">
      <c r="A82" s="147">
        <v>105</v>
      </c>
      <c r="B82" s="148">
        <v>105</v>
      </c>
      <c r="C82" s="148">
        <v>1</v>
      </c>
      <c r="D82" s="84" t="s">
        <v>135</v>
      </c>
      <c r="E82" s="85" t="s">
        <v>119</v>
      </c>
      <c r="F82" s="109" t="s">
        <v>120</v>
      </c>
      <c r="G82" s="85" t="s">
        <v>121</v>
      </c>
      <c r="H82" s="85" t="s">
        <v>122</v>
      </c>
      <c r="I82" s="125">
        <v>1</v>
      </c>
      <c r="J82" s="101">
        <v>0.9</v>
      </c>
      <c r="K82" s="172">
        <v>6.9</v>
      </c>
      <c r="L82" s="149" t="s">
        <v>62</v>
      </c>
    </row>
    <row r="83" spans="1:12" s="87" customFormat="1" ht="12">
      <c r="A83" s="147"/>
      <c r="B83" s="148"/>
      <c r="C83" s="148"/>
      <c r="D83" s="84" t="s">
        <v>135</v>
      </c>
      <c r="E83" s="85" t="s">
        <v>127</v>
      </c>
      <c r="F83" s="109" t="s">
        <v>128</v>
      </c>
      <c r="G83" s="85" t="s">
        <v>121</v>
      </c>
      <c r="H83" s="85" t="s">
        <v>122</v>
      </c>
      <c r="I83" s="125">
        <v>1</v>
      </c>
      <c r="J83" s="101">
        <v>0.9</v>
      </c>
      <c r="K83" s="172"/>
      <c r="L83" s="149"/>
    </row>
    <row r="84" spans="1:12" s="92" customFormat="1" ht="12.5" thickBot="1">
      <c r="A84" s="174"/>
      <c r="B84" s="175"/>
      <c r="C84" s="175"/>
      <c r="D84" s="110" t="s">
        <v>135</v>
      </c>
      <c r="E84" s="111" t="s">
        <v>129</v>
      </c>
      <c r="F84" s="112" t="s">
        <v>130</v>
      </c>
      <c r="G84" s="111" t="s">
        <v>121</v>
      </c>
      <c r="H84" s="111" t="s">
        <v>122</v>
      </c>
      <c r="I84" s="141">
        <v>4</v>
      </c>
      <c r="J84" s="113">
        <v>3.6</v>
      </c>
      <c r="K84" s="173"/>
      <c r="L84" s="176"/>
    </row>
    <row r="85" spans="1:12" ht="15" thickBot="1">
      <c r="A85" s="126"/>
      <c r="B85" s="127"/>
      <c r="C85" s="127">
        <f>SUM(C75:C84)</f>
        <v>15</v>
      </c>
      <c r="D85" s="127"/>
      <c r="E85" s="128"/>
      <c r="F85" s="127"/>
      <c r="G85" s="127"/>
      <c r="H85" s="127"/>
      <c r="I85" s="129">
        <f>SUM(I21:I84)</f>
        <v>1207</v>
      </c>
      <c r="J85" s="130">
        <f>SUM(J21:J84)</f>
        <v>1051.7599999999998</v>
      </c>
      <c r="K85" s="130">
        <f>SUM(K21:K84)</f>
        <v>1297.5359999999998</v>
      </c>
      <c r="L85" s="131"/>
    </row>
    <row r="86" spans="1:12">
      <c r="C86" s="179">
        <f>C85+C74+C62+C52+C42+C31</f>
        <v>105</v>
      </c>
    </row>
  </sheetData>
  <mergeCells count="53">
    <mergeCell ref="K82:K84"/>
    <mergeCell ref="A82:A84"/>
    <mergeCell ref="B82:B84"/>
    <mergeCell ref="L82:L84"/>
    <mergeCell ref="C29:C30"/>
    <mergeCell ref="C38:C39"/>
    <mergeCell ref="C40:C41"/>
    <mergeCell ref="C49:C51"/>
    <mergeCell ref="C53:C55"/>
    <mergeCell ref="C70:C71"/>
    <mergeCell ref="C72:C73"/>
    <mergeCell ref="C82:C84"/>
    <mergeCell ref="K29:K30"/>
    <mergeCell ref="K38:K39"/>
    <mergeCell ref="K40:K41"/>
    <mergeCell ref="K49:K51"/>
    <mergeCell ref="A70:A71"/>
    <mergeCell ref="B70:B71"/>
    <mergeCell ref="L70:L71"/>
    <mergeCell ref="A72:A73"/>
    <mergeCell ref="B72:B73"/>
    <mergeCell ref="L72:L73"/>
    <mergeCell ref="K70:K71"/>
    <mergeCell ref="K72:K73"/>
    <mergeCell ref="A49:A51"/>
    <mergeCell ref="B49:B51"/>
    <mergeCell ref="L49:L51"/>
    <mergeCell ref="A53:A55"/>
    <mergeCell ref="B53:B55"/>
    <mergeCell ref="L53:L55"/>
    <mergeCell ref="K53:K55"/>
    <mergeCell ref="A38:A39"/>
    <mergeCell ref="B38:B39"/>
    <mergeCell ref="L38:L39"/>
    <mergeCell ref="A40:A41"/>
    <mergeCell ref="B40:B41"/>
    <mergeCell ref="L40:L41"/>
    <mergeCell ref="A29:A30"/>
    <mergeCell ref="B29:B30"/>
    <mergeCell ref="L29:L30"/>
    <mergeCell ref="H1:J1"/>
    <mergeCell ref="K1:L1"/>
    <mergeCell ref="H2:J2"/>
    <mergeCell ref="K2:L2"/>
    <mergeCell ref="H3:J3"/>
    <mergeCell ref="K3:L3"/>
    <mergeCell ref="H4:J4"/>
    <mergeCell ref="K4:L4"/>
    <mergeCell ref="H5:J5"/>
    <mergeCell ref="K5:L5"/>
    <mergeCell ref="H6:J6"/>
    <mergeCell ref="K6:L6"/>
    <mergeCell ref="A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</vt:lpstr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Lam Le</cp:lastModifiedBy>
  <dcterms:created xsi:type="dcterms:W3CDTF">2025-04-14T08:42:44Z</dcterms:created>
  <dcterms:modified xsi:type="dcterms:W3CDTF">2026-06-08T15:35:47Z</dcterms:modified>
</cp:coreProperties>
</file>