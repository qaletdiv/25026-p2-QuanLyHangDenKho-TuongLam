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ny W\Documents\Anny My Documents\2026\C8\TENTREE\BULK\AW 26\SHIPPING DOCUMENT\NRI DIST-USA\MAY\"/>
    </mc:Choice>
  </mc:AlternateContent>
  <xr:revisionPtr revIDLastSave="0" documentId="13_ncr:1_{CA551DCB-ACB2-4D69-B312-1BF54DA74FC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V-PO04774" sheetId="2" r:id="rId1"/>
    <sheet name="PL-PO04774" sheetId="12" r:id="rId2"/>
    <sheet name="INV-PO04786" sheetId="11" r:id="rId3"/>
    <sheet name="PL-PO04786" sheetId="13" r:id="rId4"/>
    <sheet name="CCI" sheetId="6" state="hidden" r:id="rId5"/>
    <sheet name="Instructions" sheetId="4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b">#REF!</definedName>
    <definedName name="\d">#REF!</definedName>
    <definedName name="\f">#REF!</definedName>
    <definedName name="\i">#REF!</definedName>
    <definedName name="\k">#REF!</definedName>
    <definedName name="\l">#REF!</definedName>
    <definedName name="\p">#REF!</definedName>
    <definedName name="\s">#REF!</definedName>
    <definedName name="\w">#REF!</definedName>
    <definedName name="_?1">IF(OR(#REF!=0,#REF!=""),"","~")</definedName>
    <definedName name="_?2">IF(OR(#REF!="",#REF!=0,#REF!="",#REF!=0),0,IF(#REF!-#REF!=1,0,IF(#REF!=#REF!,0,#REF!-1)))</definedName>
    <definedName name="_?3">IF(OR(#REF!="",#REF!=""),IF(#REF!="",0,IF(#REF!=#REF!,0,1)),IF(#REF!=#REF!,IF(#REF!&lt;&gt;#REF!,1,0),IF(#REF!=#REF!,0,IF(OR(#REF!=0,#REF!=""),1,#REF!-#REF!+1))))</definedName>
    <definedName name="_?4">IF(#REF!=0,SUM(#REF!),SUM(#REF!)*#REF!)</definedName>
    <definedName name="_______________xlfn_IFERROR">#N/A</definedName>
    <definedName name="______________xlfn_IFERROR">"#N/A"</definedName>
    <definedName name="_____________xlfn_IFERROR">"#N/A"</definedName>
    <definedName name="____________xlfn_IFERROR">"#N/A"</definedName>
    <definedName name="___________xlfn_IFERROR">"#N/A"</definedName>
    <definedName name="__________xlfn_IFERROR">"#N/A"</definedName>
    <definedName name="__________z">NA()</definedName>
    <definedName name="_________xlfn_IFERROR">"#N/A"</definedName>
    <definedName name="_________z">NA()</definedName>
    <definedName name="________0_1">"#REF!"</definedName>
    <definedName name="________Reg10">[1]Sheet3!$H$34:$H$38</definedName>
    <definedName name="________Reg2">[1]Sheet3!$H$5:$H$12</definedName>
    <definedName name="________Reg3">[1]Sheet3!$H$13</definedName>
    <definedName name="________Reg4">[1]Sheet3!$H$14:$H$18</definedName>
    <definedName name="________Reg5">[1]Sheet3!$H$19:$H$20</definedName>
    <definedName name="________Reg6">[1]Sheet3!$H$21:$H$26</definedName>
    <definedName name="________Reg7">[1]Sheet3!$H$27</definedName>
    <definedName name="________Reg8">[1]Sheet3!$H$28:$H$32</definedName>
    <definedName name="________Reg9">[1]Sheet3!$H$33</definedName>
    <definedName name="________xlfn_IFERROR">"#N/A"</definedName>
    <definedName name="________z">NA()</definedName>
    <definedName name="_______0_1">"#REF!"</definedName>
    <definedName name="_______0_2">"#REF!"</definedName>
    <definedName name="_______b">"#REF!"</definedName>
    <definedName name="_______d">"#REF!"</definedName>
    <definedName name="_______f">"#REF!"</definedName>
    <definedName name="_______i">"#REF!"</definedName>
    <definedName name="_______k">"#REF!"</definedName>
    <definedName name="_______l">"#REF!"</definedName>
    <definedName name="_______p">"#REF!"</definedName>
    <definedName name="_______Reg1">#REF!</definedName>
    <definedName name="_______Reg10">#REF!</definedName>
    <definedName name="_______Reg2">#REF!</definedName>
    <definedName name="_______Reg3">[1]Sheet3!$H$13</definedName>
    <definedName name="_______Reg4">#REF!</definedName>
    <definedName name="_______Reg5">#REF!</definedName>
    <definedName name="_______Reg6">#REF!</definedName>
    <definedName name="_______Reg7">[1]Sheet3!$H$27</definedName>
    <definedName name="_______Reg8">#REF!</definedName>
    <definedName name="_______Reg9">[1]Sheet3!$H$33</definedName>
    <definedName name="_______s">"#REF!"</definedName>
    <definedName name="_______w">"#REF!"</definedName>
    <definedName name="_______xlfn_IFERROR">"#N/A"</definedName>
    <definedName name="_______z">NA()</definedName>
    <definedName name="______0_1">"#REF!"</definedName>
    <definedName name="______0_2">"#REF!"</definedName>
    <definedName name="______b">"#REF!"</definedName>
    <definedName name="______d">"#REF!"</definedName>
    <definedName name="______Excel_BuiltIn_Print_Area_2_1_1_1_1_1_1_1_1_1_1">"$#REF!.$A$1:$K$71"</definedName>
    <definedName name="______f">"#REF!"</definedName>
    <definedName name="______i">"#REF!"</definedName>
    <definedName name="______k">"#REF!"</definedName>
    <definedName name="______l">"#REF!"</definedName>
    <definedName name="______p">"#REF!"</definedName>
    <definedName name="______Reg1">#REF!</definedName>
    <definedName name="______Reg10">#REF!</definedName>
    <definedName name="______Reg2">#REF!</definedName>
    <definedName name="______Reg3">[1]Sheet3!$H$13</definedName>
    <definedName name="______Reg4">#REF!</definedName>
    <definedName name="______Reg5">#REF!</definedName>
    <definedName name="______Reg6">#REF!</definedName>
    <definedName name="______Reg7">[1]Sheet3!$H$27</definedName>
    <definedName name="______Reg8">#REF!</definedName>
    <definedName name="______Reg9">[1]Sheet3!$H$33</definedName>
    <definedName name="______s">"#REF!"</definedName>
    <definedName name="______w">"#REF!"</definedName>
    <definedName name="______xlfn_IFERROR">"#N/A"</definedName>
    <definedName name="______z">NA()</definedName>
    <definedName name="_____0_1">"#REF!"</definedName>
    <definedName name="_____0_2">"#REF!"</definedName>
    <definedName name="_____b">"#REF!"</definedName>
    <definedName name="_____d">"#REF!"</definedName>
    <definedName name="_____f">"#REF!"</definedName>
    <definedName name="_____i">"#REF!"</definedName>
    <definedName name="_____k">"#REF!"</definedName>
    <definedName name="_____l">"#REF!"</definedName>
    <definedName name="_____p">"#REF!"</definedName>
    <definedName name="_____Reg1">#REF!</definedName>
    <definedName name="_____Reg10">#REF!</definedName>
    <definedName name="_____Reg2">#REF!</definedName>
    <definedName name="_____Reg3">[1]Sheet3!$H$13</definedName>
    <definedName name="_____Reg4">#REF!</definedName>
    <definedName name="_____Reg5">#REF!</definedName>
    <definedName name="_____Reg6">#REF!</definedName>
    <definedName name="_____Reg7">[1]Sheet3!$H$27</definedName>
    <definedName name="_____Reg8">#REF!</definedName>
    <definedName name="_____Reg9">[1]Sheet3!$H$33</definedName>
    <definedName name="_____s">"#REF!"</definedName>
    <definedName name="_____w">"#REF!"</definedName>
    <definedName name="_____xlfn_IFERROR">"#N/A"</definedName>
    <definedName name="_____z">NA()</definedName>
    <definedName name="____0_1">"#REF!"</definedName>
    <definedName name="____0_2">"#REF!"</definedName>
    <definedName name="____b">"#REF!"</definedName>
    <definedName name="____d">"#REF!"</definedName>
    <definedName name="____f">"#REF!"</definedName>
    <definedName name="____i">"#REF!"</definedName>
    <definedName name="____k">"#REF!"</definedName>
    <definedName name="____l">"#REF!"</definedName>
    <definedName name="____p">"#REF!"</definedName>
    <definedName name="____Reg1">#REF!</definedName>
    <definedName name="____Reg10">#REF!</definedName>
    <definedName name="____Reg2">#REF!</definedName>
    <definedName name="____Reg3">[1]Sheet3!$H$13</definedName>
    <definedName name="____Reg4">#REF!</definedName>
    <definedName name="____Reg5">#REF!</definedName>
    <definedName name="____Reg6">#REF!</definedName>
    <definedName name="____Reg7">[1]Sheet3!$H$27</definedName>
    <definedName name="____Reg8">#REF!</definedName>
    <definedName name="____Reg9">[1]Sheet3!$H$33</definedName>
    <definedName name="____s">"#REF!"</definedName>
    <definedName name="____w">"#REF!"</definedName>
    <definedName name="____xlfn_IFERROR">"#N/A"</definedName>
    <definedName name="___0_1">"#REF!"</definedName>
    <definedName name="___0_2">"#REF!"</definedName>
    <definedName name="___b">"#REF!"</definedName>
    <definedName name="___d">"#REF!"</definedName>
    <definedName name="___f">"#REF!"</definedName>
    <definedName name="___i">"#REF!"</definedName>
    <definedName name="___k">"#REF!"</definedName>
    <definedName name="___key2">NA()</definedName>
    <definedName name="___l">"#REF!"</definedName>
    <definedName name="___p">"#REF!"</definedName>
    <definedName name="___Reg1">#REF!</definedName>
    <definedName name="___Reg10">#REF!</definedName>
    <definedName name="___Reg2">#REF!</definedName>
    <definedName name="___Reg3">[1]Sheet3!$H$13</definedName>
    <definedName name="___Reg4">#REF!</definedName>
    <definedName name="___Reg5">#REF!</definedName>
    <definedName name="___Reg6">#REF!</definedName>
    <definedName name="___Reg7">[1]Sheet3!$H$27</definedName>
    <definedName name="___Reg8">#REF!</definedName>
    <definedName name="___Reg9">[1]Sheet3!$H$33</definedName>
    <definedName name="___s">"#REF!"</definedName>
    <definedName name="___w">"#REF!"</definedName>
    <definedName name="___xlfn_IFERROR">"#N/A"</definedName>
    <definedName name="__0_2">"#REF!"</definedName>
    <definedName name="__2Excel_BuiltIn_Print_Area_1_1_1_1_1_1_1_1_1_1_1_1_1_1_1_1_1_1_1">"$#REF!.$A$1:$M$171"</definedName>
    <definedName name="__b">"#REF!"</definedName>
    <definedName name="__C_1">"#N/A"</definedName>
    <definedName name="__CAN03_1">"#REF!"</definedName>
    <definedName name="__CAN04_1">"#REF!"</definedName>
    <definedName name="__CAN05_1">"#REF!"</definedName>
    <definedName name="__CAN06_1">"#REF!"</definedName>
    <definedName name="__CAN07_1">"#REF!"</definedName>
    <definedName name="__CAN08_1">"#REF!"</definedName>
    <definedName name="__CAN09_1">"#REF!"</definedName>
    <definedName name="__CAN10_1">"#REF!"</definedName>
    <definedName name="__CAN11_1">"#REF!"</definedName>
    <definedName name="__d">"#REF!"</definedName>
    <definedName name="__DAT1_1">"#REF!"</definedName>
    <definedName name="__DAT10_1">"#REF!"</definedName>
    <definedName name="__DAT11_1">"#REF!"</definedName>
    <definedName name="__DAT12_1">"#REF!"</definedName>
    <definedName name="__DAT13_1">"#REF!"</definedName>
    <definedName name="__DAT14_1">"#REF!"</definedName>
    <definedName name="__DAT15_1">"#REF!"</definedName>
    <definedName name="__DAT16_1">"#REF!"</definedName>
    <definedName name="__DAT17_1">"#REF!"</definedName>
    <definedName name="__DAT18_1">"#REF!"</definedName>
    <definedName name="__DAT19_1">"#REF!"</definedName>
    <definedName name="__DAT2_1">"#REF!"</definedName>
    <definedName name="__DAT20_1">"#REF!"</definedName>
    <definedName name="__DAT3_1">"#REF!"</definedName>
    <definedName name="__DAT4_1">"#REF!"</definedName>
    <definedName name="__DAT5_1">"#REF!"</definedName>
    <definedName name="__DAT6_1">"#REF!"</definedName>
    <definedName name="__DAT7_1">"#REF!"</definedName>
    <definedName name="__DAT8_1">"#REF!"</definedName>
    <definedName name="__DAT9_1">"#REF!"</definedName>
    <definedName name="__Excel_BuiltIn_Print_Area_1_1_1_1_1_1_1_1_1_1_1_1_1_1_1_1_1_1_1">"$#REF!.$A$1:$M$171"</definedName>
    <definedName name="__Excel_BuiltIn_Print_Area_4_1_1_1_1">"$#REF!.$A$1:$L$121"</definedName>
    <definedName name="__f">"#REF!"</definedName>
    <definedName name="__i">"#REF!"</definedName>
    <definedName name="__IntlFixup">1</definedName>
    <definedName name="__k">"#REF!"</definedName>
    <definedName name="__l">"#REF!"</definedName>
    <definedName name="__p">"#REF!"</definedName>
    <definedName name="__Reg1">#REF!</definedName>
    <definedName name="__Reg10">#REF!</definedName>
    <definedName name="__Reg2">#REF!</definedName>
    <definedName name="__Reg3">[1]Sheet3!$H$13</definedName>
    <definedName name="__Reg4">#REF!</definedName>
    <definedName name="__Reg5">#REF!</definedName>
    <definedName name="__Reg6">#REF!</definedName>
    <definedName name="__Reg7">[1]Sheet3!$H$27</definedName>
    <definedName name="__Reg8">#REF!</definedName>
    <definedName name="__Reg9">[1]Sheet3!$H$33</definedName>
    <definedName name="__s">"#REF!"</definedName>
    <definedName name="__w">"#REF!"</definedName>
    <definedName name="__xlfn_IFERROR" localSheetId="4">#N/A</definedName>
    <definedName name="__xlfn_IFERROR">"#N/A"</definedName>
    <definedName name="__xlnm._FilterDatabase_1">#REF!</definedName>
    <definedName name="__xlnm.Database">#REF!</definedName>
    <definedName name="__xlnm.Database_1">#REF!</definedName>
    <definedName name="__xlnm.Print_Titles">"#N/A"</definedName>
    <definedName name="__xlnm.Print_Titles_1">NA()</definedName>
    <definedName name="_0">"#REF!"</definedName>
    <definedName name="_0_1">"#REF!"</definedName>
    <definedName name="_0_2">"#REF!"</definedName>
    <definedName name="_100LastUse_17_1">39812</definedName>
    <definedName name="_101LastUse_18_1">39818</definedName>
    <definedName name="_102LastUse_19_1">39818</definedName>
    <definedName name="_103LastUse_20_1">39820</definedName>
    <definedName name="_104LastUse_21_1">39820</definedName>
    <definedName name="_105LastUse_22_1">39818</definedName>
    <definedName name="_106LastUse_23_1">39812</definedName>
    <definedName name="_107LastUse_24_1">39812</definedName>
    <definedName name="_108LastUse_25_1">39818</definedName>
    <definedName name="_109LastUse_26_1">39818</definedName>
    <definedName name="_110LastUse_27_1">39876</definedName>
    <definedName name="_111LastUse_28_1">39876</definedName>
    <definedName name="_112LastUse_29_1">39812</definedName>
    <definedName name="_165Rpt_15_1">12</definedName>
    <definedName name="_166Rpt_16_1">12</definedName>
    <definedName name="_167Rpt_17_1">12</definedName>
    <definedName name="_168Rpt_18_1">11</definedName>
    <definedName name="_169Rpt_19_1">11</definedName>
    <definedName name="_170Rpt_20_1">17</definedName>
    <definedName name="_171Rpt_21_1">17</definedName>
    <definedName name="_172Rpt_22_1">18</definedName>
    <definedName name="_173Rpt_23_1">16</definedName>
    <definedName name="_174Rpt_24_1">16</definedName>
    <definedName name="_175Rpt_25_1">14</definedName>
    <definedName name="_176Rpt_26_1">12</definedName>
    <definedName name="_177Rpt_27_1">16</definedName>
    <definedName name="_178Rpt_28_1">16</definedName>
    <definedName name="_179Rpt_29_1">11</definedName>
    <definedName name="_1HOURS_WK">NA()</definedName>
    <definedName name="_1HOURS_WK_1">"#N/A"</definedName>
    <definedName name="_1HOURS_WK_2">NA()</definedName>
    <definedName name="_258UseToday_16_1">3</definedName>
    <definedName name="_259UseToday_17_1">7</definedName>
    <definedName name="_260UseToday_18_1">1</definedName>
    <definedName name="_261UseToday_21_1">6</definedName>
    <definedName name="_262UseToday_22_1">2</definedName>
    <definedName name="_263UseToday_23_1">2</definedName>
    <definedName name="_264UseToday_24_1">3</definedName>
    <definedName name="_265UseToday_26_1">3</definedName>
    <definedName name="_266UseToday_27_1">1</definedName>
    <definedName name="_2Excel_BuiltIn_Print_Area_1_1_1_1_1_1_1_1_1_1_1_1_1_1_1_1_1_1_1">"$#REF!.$A$1:$M$171"</definedName>
    <definedName name="_4Excel_BuiltIn_Print_Area_2_1_1_1_1_1_1_1_1_1_1">"$#REF!.$A$1:$K$71"</definedName>
    <definedName name="_57Excel_BuiltIn__FilterDatabase_4_1">NA()</definedName>
    <definedName name="_5Excel_BuiltIn_Print_Area_1_1">#REF!</definedName>
    <definedName name="_5Excel_BuiltIn_Print_Area_2_1_1_1_1_1_1_1_1_1_1">"$#REF!.$A$1:$K$71"</definedName>
    <definedName name="_8Excel_BuiltIn_Print_Area_4_1_1_1_1">"$#REF!.$A$1:$L$121"</definedName>
    <definedName name="_98LastUse_15_1">39812</definedName>
    <definedName name="_99LastUse_16_1">39812</definedName>
    <definedName name="_9Excel_BuiltIn_Print_Area_4_1_1_1_1">"$#REF!.$A$1:$L$121"</definedName>
    <definedName name="_C">NA()</definedName>
    <definedName name="_C_1">"#N/A"</definedName>
    <definedName name="_C_2">NA()</definedName>
    <definedName name="_CAN03_1">"#REF!"</definedName>
    <definedName name="_CAN03_2">"#REF!"</definedName>
    <definedName name="_CAN04_1">"#REF!"</definedName>
    <definedName name="_CAN04_2">"#REF!"</definedName>
    <definedName name="_CAN05_1">"#REF!"</definedName>
    <definedName name="_CAN05_2">"#REF!"</definedName>
    <definedName name="_CAN06_1">"#REF!"</definedName>
    <definedName name="_CAN06_2">"#REF!"</definedName>
    <definedName name="_CAN07_1">"#REF!"</definedName>
    <definedName name="_CAN07_2">"#REF!"</definedName>
    <definedName name="_CAN08_1">"#REF!"</definedName>
    <definedName name="_CAN08_2">"#REF!"</definedName>
    <definedName name="_CAN09_1">"#REF!"</definedName>
    <definedName name="_CAN09_2">"#REF!"</definedName>
    <definedName name="_CAN10_1">"#REF!"</definedName>
    <definedName name="_CAN10_2">"#REF!"</definedName>
    <definedName name="_CAN11_1">"#REF!"</definedName>
    <definedName name="_CAN11_2">"#REF!"</definedName>
    <definedName name="_DAT1_1">"#REF!"</definedName>
    <definedName name="_DAT1_2">"#REF!"</definedName>
    <definedName name="_DAT10_1">"#REF!"</definedName>
    <definedName name="_DAT10_2">"#REF!"</definedName>
    <definedName name="_DAT11_1">"#REF!"</definedName>
    <definedName name="_DAT11_2">"#REF!"</definedName>
    <definedName name="_DAT12_1">"#REF!"</definedName>
    <definedName name="_DAT12_2">"#REF!"</definedName>
    <definedName name="_DAT13_1">"#REF!"</definedName>
    <definedName name="_DAT13_2">"#REF!"</definedName>
    <definedName name="_DAT14_1">"#REF!"</definedName>
    <definedName name="_DAT14_2">"#REF!"</definedName>
    <definedName name="_DAT15_1">"#REF!"</definedName>
    <definedName name="_DAT15_2">"#REF!"</definedName>
    <definedName name="_DAT16_1">"#REF!"</definedName>
    <definedName name="_DAT16_2">"#REF!"</definedName>
    <definedName name="_DAT17_1">"#REF!"</definedName>
    <definedName name="_DAT17_2">"#REF!"</definedName>
    <definedName name="_DAT18_1">"#REF!"</definedName>
    <definedName name="_DAT18_2">"#REF!"</definedName>
    <definedName name="_DAT19_1">"#REF!"</definedName>
    <definedName name="_DAT19_2">"#REF!"</definedName>
    <definedName name="_DAT2_1">"#REF!"</definedName>
    <definedName name="_DAT2_2">"#REF!"</definedName>
    <definedName name="_DAT20_1">"#REF!"</definedName>
    <definedName name="_DAT20_2">"#REF!"</definedName>
    <definedName name="_DAT3_1">"#REF!"</definedName>
    <definedName name="_DAT3_2">"#REF!"</definedName>
    <definedName name="_DAT4_1">"#REF!"</definedName>
    <definedName name="_DAT4_2">"#REF!"</definedName>
    <definedName name="_DAT5_1">"#REF!"</definedName>
    <definedName name="_DAT5_2">"#REF!"</definedName>
    <definedName name="_DAT6_1">"#REF!"</definedName>
    <definedName name="_DAT6_2">"#REF!"</definedName>
    <definedName name="_DAT7_1">"#REF!"</definedName>
    <definedName name="_DAT7_2">"#REF!"</definedName>
    <definedName name="_DAT8_1">"#REF!"</definedName>
    <definedName name="_DAT8_2">"#REF!"</definedName>
    <definedName name="_DAT9_1">"#REF!"</definedName>
    <definedName name="_DAT9_2">"#REF!"</definedName>
    <definedName name="_Fill">#REF!</definedName>
    <definedName name="_xlnm._FilterDatabase" localSheetId="0" hidden="1">'INV-PO04774'!$A$27:$L$39</definedName>
    <definedName name="_xlnm._FilterDatabase" localSheetId="2" hidden="1">'INV-PO04786'!$A$27:$L$33</definedName>
    <definedName name="_Key1">NA()</definedName>
    <definedName name="_Key2">NA()</definedName>
    <definedName name="_Order1">255</definedName>
    <definedName name="_Order2">255</definedName>
    <definedName name="_Regression_X">NA()</definedName>
    <definedName name="_Sort">NA()</definedName>
    <definedName name="_tax1">NA()</definedName>
    <definedName name="_tax2">NA()</definedName>
    <definedName name="_tax3">NA()</definedName>
    <definedName name="_tax4">NA()</definedName>
    <definedName name="_z">NA()</definedName>
    <definedName name="A" localSheetId="1">SUM(IF(#REF!=STD_1,IF(#REF!=0,IF(CT_Q=0,1,CT_Q)*SZ_17,IF(#REF!=STD_2,IF(CT_Q=0,1,CT_Q)*SZ_17))))</definedName>
    <definedName name="A" localSheetId="3">SUM(IF(#REF!=STD_1,IF(#REF!=0,IF(CT_Q=0,1,CT_Q)*SZ_17,IF(#REF!=STD_2,IF(CT_Q=0,1,CT_Q)*SZ_17))))</definedName>
    <definedName name="A">SUM(IF(#REF!=STD_1,IF(#REF!=0,IF(CT_Q=0,1,CT_Q)*SZ_17,IF(#REF!=STD_2,IF(CT_Q=0,1,CT_Q)*SZ_17))))</definedName>
    <definedName name="A_20_1">"#REF!"</definedName>
    <definedName name="A_20_2">"#REF!"</definedName>
    <definedName name="A_21_1">"#REF!"</definedName>
    <definedName name="A_21_2">"#REF!"</definedName>
    <definedName name="A_22_1">"#REF!"</definedName>
    <definedName name="A_22_2">"#REF!"</definedName>
    <definedName name="A1Q">#REF!</definedName>
    <definedName name="aa">NA()</definedName>
    <definedName name="aaa">NA()</definedName>
    <definedName name="aaaa">NA()</definedName>
    <definedName name="ABC" localSheetId="1">IF(#REF!=OFFSET(_xlnm.Database,ROWS(_xlnm.Database),COLUMNS(_xlnm.Database)-1,1,1),"OK",OFFSET(_xlnm.Database,ROWS(_xlnm.Database),COLUMNS(_xlnm.Database)-1,1,1)-#REF!)</definedName>
    <definedName name="ABC" localSheetId="3">IF(#REF!=OFFSET(_xlnm.Database,ROWS(_xlnm.Database),COLUMNS(_xlnm.Database)-1,1,1),"OK",OFFSET(_xlnm.Database,ROWS(_xlnm.Database),COLUMNS(_xlnm.Database)-1,1,1)-#REF!)</definedName>
    <definedName name="ABC">IF(#REF!=OFFSET(_xlnm.Database,ROWS(_xlnm.Database),COLUMNS(_xlnm.Database)-1,1,1),"OK",OFFSET(_xlnm.Database,ROWS(_xlnm.Database),COLUMNS(_xlnm.Database)-1,1,1)-#REF!)</definedName>
    <definedName name="ABM">NA()</definedName>
    <definedName name="ABM_1">"#N/A"</definedName>
    <definedName name="ABM_2">"#N/A"</definedName>
    <definedName name="ABM_3">"#N/A"</definedName>
    <definedName name="ABM_4">"#N/A"</definedName>
    <definedName name="ABM_5">"#N/A"</definedName>
    <definedName name="ABM_6">"#N/A"</definedName>
    <definedName name="ABM_7">"#N/A"</definedName>
    <definedName name="ABM_8">NA()</definedName>
    <definedName name="acac">NA()</definedName>
    <definedName name="actTOTAL05_1">"#REF!"</definedName>
    <definedName name="actTOTAL05_2">"#REF!"</definedName>
    <definedName name="Air">#REF!</definedName>
    <definedName name="ALLCAGR_1">"#REF!"</definedName>
    <definedName name="ALLCAGR_2">"#REF!"</definedName>
    <definedName name="AMT">NA()</definedName>
    <definedName name="AMT_1">"#N/A"</definedName>
    <definedName name="AMT_2">NA()</definedName>
    <definedName name="ANA">NA()</definedName>
    <definedName name="ANA_15">NA()</definedName>
    <definedName name="ANA_2">NA()</definedName>
    <definedName name="AQ">#REF!</definedName>
    <definedName name="ARDOISE" localSheetId="4">#N/A</definedName>
    <definedName name="ARDOISE">"#N/A"</definedName>
    <definedName name="arf">OFFSET([2]COLOUR!$A$2,0,0,COUNTA(#REF!)-1)</definedName>
    <definedName name="AS">NA()</definedName>
    <definedName name="asas">NA()</definedName>
    <definedName name="ASD">OFFSET([2]SIZE!$A$2,0,0,COUNTA(#REF!)-1)</definedName>
    <definedName name="asds">'[3]Validation:Previous Forcasting notes'!$A$344:$A$418</definedName>
    <definedName name="B" localSheetId="1">SUM(IF(#REF!=STD_1,IF(#REF!=0,IF(CT_Q=0,1,CT_Q)*SZ_17,IF(#REF!=STD_2,IF(CT_Q=0,1,CT_Q)*SZ_17))))</definedName>
    <definedName name="B" localSheetId="3">SUM(IF(#REF!=STD_1,IF(#REF!=0,IF(CT_Q=0,1,CT_Q)*SZ_17,IF(#REF!=STD_2,IF(CT_Q=0,1,CT_Q)*SZ_17))))</definedName>
    <definedName name="B">SUM(IF(#REF!=STD_1,IF(#REF!=0,IF(CT_Q=0,1,CT_Q)*SZ_17,IF(#REF!=STD_2,IF(CT_Q=0,1,CT_Q)*SZ_17))))</definedName>
    <definedName name="B_1">"#REF!"</definedName>
    <definedName name="B_2">"#REF!"</definedName>
    <definedName name="BrandSelection">[1]Sheet3!$A$2:$A$17</definedName>
    <definedName name="Buyer">OFFSET([4]BUYER!$A$2,0,0,COUNTA([4]BUYER:MISC!$A$1:$A$9)-1)</definedName>
    <definedName name="BuyerData">OFFSET([4]BUYER!$A$2,0,0,COUNTA([4]BUYER:MISC!$A$1:$A$9)-1,COUNTA([4]BUYER:MISC!$A$1:$IV$1))</definedName>
    <definedName name="C_">#REF!</definedName>
    <definedName name="CAGR03TEST_1">"#REF!"</definedName>
    <definedName name="CAGR03TEST_2">"#REF!"</definedName>
    <definedName name="CAGRTEST_1">"#REF!"</definedName>
    <definedName name="CAGRTEST_2">"#REF!"</definedName>
    <definedName name="CAT">NA()</definedName>
    <definedName name="CAT_1">"#N/A"</definedName>
    <definedName name="CAT_2">NA()</definedName>
    <definedName name="CERTIFLED" localSheetId="1">SUM(IF(#REF!=STD_1,IF(#REF!=0,IF(CT_Q=0,1,CT_Q)*SZ_17,IF(#REF!=STD_2,IF(CT_Q=0,1,CT_Q)*SZ_17))))</definedName>
    <definedName name="CERTIFLED" localSheetId="3">SUM(IF(#REF!=STD_1,IF(#REF!=0,IF(CT_Q=0,1,CT_Q)*SZ_17,IF(#REF!=STD_2,IF(CT_Q=0,1,CT_Q)*SZ_17))))</definedName>
    <definedName name="CERTIFLED">SUM(IF(#REF!=STD_1,IF(#REF!=0,IF(CT_Q=0,1,CT_Q)*SZ_17,IF(#REF!=STD_2,IF(CT_Q=0,1,CT_Q)*SZ_17))))</definedName>
    <definedName name="CHANGETYPE">NA()</definedName>
    <definedName name="CN_1">#REF!</definedName>
    <definedName name="CN_2">#REF!</definedName>
    <definedName name="CNCOLOR">NA()</definedName>
    <definedName name="CNCOLOR_1">"#N/A"</definedName>
    <definedName name="CNCOLOR_2">"#N/A"</definedName>
    <definedName name="CNCOLOR_3">"#N/A"</definedName>
    <definedName name="CNCOLOR_4">"#N/A"</definedName>
    <definedName name="CNCOLOR_5">"#N/A"</definedName>
    <definedName name="CNCOLOR_6">"#N/A"</definedName>
    <definedName name="CNCOLOR_7">"#N/A"</definedName>
    <definedName name="CNCOLOR_8">NA()</definedName>
    <definedName name="CNCOLORSTAT">NA()</definedName>
    <definedName name="CNSIZE2">NA()</definedName>
    <definedName name="CNSIZE2_1">"#N/A"</definedName>
    <definedName name="CNSIZE2_2">"#N/A"</definedName>
    <definedName name="CNSIZE2_3">"#N/A"</definedName>
    <definedName name="CNSIZE2_4">"#N/A"</definedName>
    <definedName name="CNSIZE2_5">"#N/A"</definedName>
    <definedName name="CNSIZE2_6">"#N/A"</definedName>
    <definedName name="CNSIZE2_7">"#N/A"</definedName>
    <definedName name="CNSIZE2_8">NA()</definedName>
    <definedName name="CNSTYLE">NA()</definedName>
    <definedName name="CNSTYLE_1">"#N/A"</definedName>
    <definedName name="CNSTYLE_2">NA()</definedName>
    <definedName name="COAT">NA()</definedName>
    <definedName name="Code">OFFSET([2]DATA!$A$2,0,0,COUNTA([2]DATA:COLOUR!$A$1:$A$9)-1)</definedName>
    <definedName name="COLOR">#REF!</definedName>
    <definedName name="COLOR_1">"#N/A"</definedName>
    <definedName name="COLOR_2">NA()</definedName>
    <definedName name="COLOR_STATUS">#REF!</definedName>
    <definedName name="COLOR_STATUS_1">#REF!</definedName>
    <definedName name="COLORSTATUS">NA()</definedName>
    <definedName name="COLORSTATUS_1">"#N/A"</definedName>
    <definedName name="COLORSTATUS_2">"#N/A"</definedName>
    <definedName name="COLORSTATUS_3">"#N/A"</definedName>
    <definedName name="COLORSTATUS_4">"#N/A"</definedName>
    <definedName name="COLORSTATUS_5">"#N/A"</definedName>
    <definedName name="COLORSTATUS_6">"#N/A"</definedName>
    <definedName name="COLORSTATUS_7">"#N/A"</definedName>
    <definedName name="COLORSTATUS_8">NA()</definedName>
    <definedName name="COLOUR">OFFSET([4]MISC!$F$2,0,0,COUNTA(#REF!)-1)</definedName>
    <definedName name="COMMENTS_1">"#REF!"</definedName>
    <definedName name="COMMENTS_2">"#REF!"</definedName>
    <definedName name="CONN_DATABASE">"newgar_v1"</definedName>
    <definedName name="CONN_PASSWORD">""</definedName>
    <definedName name="CONN_PICTPATH">"\\leverex2\public\msc\"</definedName>
    <definedName name="CONN_SERVER">"levermsc"</definedName>
    <definedName name="CONN_USERID">"mscuser"</definedName>
    <definedName name="cool">NA()</definedName>
    <definedName name="cooli">NA()</definedName>
    <definedName name="cr_s07_july_buy_tekware_psr">"$#REF!.$A$2:$E$2"</definedName>
    <definedName name="_xlnm.Criteria">#REF!</definedName>
    <definedName name="csAllowDetailBudgeting">1</definedName>
    <definedName name="csAllowLocalConsolidation">1</definedName>
    <definedName name="csAppName">"FlFcBkFmGhGaFj@bAeDmE`CoA`DbAk"</definedName>
    <definedName name="csDesignMode">1</definedName>
    <definedName name="csDetailBudgetingURL">"FlFcBkFmGhGaD`@c@eEj@oFdFhEdAlAgEoE`@iAeBmBdDkAn@fDoEgFdCcEeEfAaEkEhAjEcBgFoDi@d@aAeGdCkCgAjCkA`DmEbAnDnAnBdDjEaCbDkDaGf@cDb@m@dD`EiE`GhClBeDoAb@eDcEkBl"</definedName>
    <definedName name="csKeepAlive">5</definedName>
    <definedName name="csLocalConsolidationOnSubmit">1</definedName>
    <definedName name="csRefreshOnOpen">1</definedName>
    <definedName name="csRefreshOnRotate">1</definedName>
    <definedName name="csvfc_DE_MOR_Scheds_Periods_Periodic_Plan_Dim01">"="</definedName>
    <definedName name="csvfc_DE_MOR_Scheds_Periods_Periodic_Plan_Dim02">"="</definedName>
    <definedName name="csvfc_DE_MOR_Scheds_Periods_YTD_BS_Plan_Dim01">"="</definedName>
    <definedName name="csvfc_DE_MOR_Scheds_Periods_YTD_BS_Plan_Dim02">"="</definedName>
    <definedName name="csvfc_DE_MOR_Scheds_Periods_YTD_BS_Plan_Dim03_1">"#REF!"</definedName>
    <definedName name="csvfc_DE_MOR_Scheds_Periods_YTD_BS_Plan_Dim03_2">"#REF!"</definedName>
    <definedName name="csvfc_DE_MOR_Scheds_Periods_YTD_BS_Plan_Dim04_1">"#REF!"</definedName>
    <definedName name="csvfc_DE_MOR_Scheds_Periods_YTD_BS_Plan_Dim04_2">"#REF!"</definedName>
    <definedName name="csvfc_DE_MOR_Scheds_Periods_YTD_BS_Plan_Dim05_1">"#REF!"</definedName>
    <definedName name="csvfc_DE_MOR_Scheds_Periods_YTD_BS_Plan_Dim05_2">"#REF!"</definedName>
    <definedName name="csvfc_DE_MOR_Scheds_Periods_YTD_BS_Plan_Dim06_1">"#REF!"</definedName>
    <definedName name="csvfc_DE_MOR_Scheds_Periods_YTD_BS_Plan_Dim06_2">"#REF!"</definedName>
    <definedName name="csvfc_DE_MOR_Scheds_Periods_YTD_BS_Plan_Dim07_1">"#REF!"</definedName>
    <definedName name="csvfc_DE_MOR_Scheds_Periods_YTD_BS_Plan_Dim07_2">"#REF!"</definedName>
    <definedName name="csvfc_DE_MOR_Scheds_Periods_YTD_BS_Plan_Dim08_1">"#REF!"</definedName>
    <definedName name="csvfc_DE_MOR_Scheds_Periods_YTD_BS_Plan_Dim08_2">"#REF!"</definedName>
    <definedName name="csvfc_DE_MOR_Scheds_Periods_YTD_BS_Plan_Dim09_1">"#REF!"</definedName>
    <definedName name="csvfc_DE_MOR_Scheds_Periods_YTD_BS_Plan_Dim09_2">"#REF!"</definedName>
    <definedName name="csvfc_DE_MOR_Scheds_Periods_YTD_BS_Plan_Dim10_1">"#REF!"</definedName>
    <definedName name="csvfc_DE_MOR_Scheds_Periods_YTD_BS_Plan_Dim10_2">"#REF!"</definedName>
    <definedName name="csvfc_DE_MOR_Scheds_Periods_YTD_BS_PlanAnchor_1">"#REF!"</definedName>
    <definedName name="csvfc_DE_MOR_Scheds_Periods_YTD_BS_PlanAnchor_2">"#REF!"</definedName>
    <definedName name="CT_Q">#REF!</definedName>
    <definedName name="CTOTAL06_1">"#REF!"</definedName>
    <definedName name="CTOTAL06_2">"#REF!"</definedName>
    <definedName name="CTOTAL07_1">"#REF!"</definedName>
    <definedName name="CTOTAL07_2">"#REF!"</definedName>
    <definedName name="CTOTAL08_1">"#REF!"</definedName>
    <definedName name="CTOTAL08_2">"#REF!"</definedName>
    <definedName name="CTOTAL09_1">"#REF!"</definedName>
    <definedName name="CTOTAL09_2">"#REF!"</definedName>
    <definedName name="CTOTAL10_1">"#REF!"</definedName>
    <definedName name="CTOTAL10_2">"#REF!"</definedName>
    <definedName name="CTOTAL11_1">"#REF!"</definedName>
    <definedName name="CTOTAL11_2">"#REF!"</definedName>
    <definedName name="Currency">OFFSET([4]MISC!$C$2,0,0,COUNTA(#REF!)-1)</definedName>
    <definedName name="D_1">"#N/A"</definedName>
    <definedName name="D_2">NA()</definedName>
    <definedName name="Data">OFFSET([2]DATA!$A$2,0,0,COUNTA([2]DATA:COLOUR!$A$1:$A$9)-1,COUNTA([2]DATA:COLOUR!$A$1:$IV$1)-1)</definedName>
    <definedName name="DATA1">"#REF!"</definedName>
    <definedName name="DATA1_1">"#REF!"</definedName>
    <definedName name="DATA10">"#REF!"</definedName>
    <definedName name="DATA10_1">"#REF!"</definedName>
    <definedName name="DATA11">"#REF!"</definedName>
    <definedName name="DATA11_1">"#REF!"</definedName>
    <definedName name="data12">NA()</definedName>
    <definedName name="data12_1">NA()</definedName>
    <definedName name="data12_15">NA()</definedName>
    <definedName name="data12_19">NA()</definedName>
    <definedName name="data12_2">NA()</definedName>
    <definedName name="data12_2_1">NA()</definedName>
    <definedName name="data12_2_2">NA()</definedName>
    <definedName name="data12_2_3">NA()</definedName>
    <definedName name="data12_2_4">NA()</definedName>
    <definedName name="data12_2_6">NA()</definedName>
    <definedName name="data12_20">NA()</definedName>
    <definedName name="data12_21">NA()</definedName>
    <definedName name="data12_22">NA()</definedName>
    <definedName name="data12_8">NA()</definedName>
    <definedName name="DATA13">"#REF!"</definedName>
    <definedName name="DATA13_1">"#REF!"</definedName>
    <definedName name="DATA14">"#REF!"</definedName>
    <definedName name="DATA14_1">"#REF!"</definedName>
    <definedName name="DATA15">"#REF!"</definedName>
    <definedName name="DATA15_1">"#REF!"</definedName>
    <definedName name="DATA16">"#REF!"</definedName>
    <definedName name="DATA16_1">"#REF!"</definedName>
    <definedName name="DATA17">"#REF!"</definedName>
    <definedName name="DATA17_1">"#REF!"</definedName>
    <definedName name="DATA18">"#REF!"</definedName>
    <definedName name="DATA18_1">"#REF!"</definedName>
    <definedName name="DATA19">"#REF!"</definedName>
    <definedName name="DATA19_1">"#REF!"</definedName>
    <definedName name="DATA2">"#REF!"</definedName>
    <definedName name="DATA2_1">"#REF!"</definedName>
    <definedName name="DATA20">"#REF!"</definedName>
    <definedName name="DATA20_1">"#REF!"</definedName>
    <definedName name="DATA3">"#REF!"</definedName>
    <definedName name="DATA3_1">"#REF!"</definedName>
    <definedName name="DATA4">"#REF!"</definedName>
    <definedName name="DATA4_1">"#REF!"</definedName>
    <definedName name="DATA5">"#REF!"</definedName>
    <definedName name="DATA5_1">"#REF!"</definedName>
    <definedName name="data56">NA()</definedName>
    <definedName name="data56_1">NA()</definedName>
    <definedName name="data56_15">NA()</definedName>
    <definedName name="data56_19">NA()</definedName>
    <definedName name="data56_2">NA()</definedName>
    <definedName name="data56_2_1">NA()</definedName>
    <definedName name="data56_2_2">NA()</definedName>
    <definedName name="data56_2_3">NA()</definedName>
    <definedName name="data56_2_4">NA()</definedName>
    <definedName name="data56_2_6">NA()</definedName>
    <definedName name="data56_20">NA()</definedName>
    <definedName name="data56_21">NA()</definedName>
    <definedName name="data56_22">NA()</definedName>
    <definedName name="data56_8">NA()</definedName>
    <definedName name="data57">NA()</definedName>
    <definedName name="data57_1">NA()</definedName>
    <definedName name="data57_15">NA()</definedName>
    <definedName name="data57_19">NA()</definedName>
    <definedName name="data57_2">NA()</definedName>
    <definedName name="data57_2_1">NA()</definedName>
    <definedName name="data57_2_2">NA()</definedName>
    <definedName name="data57_2_3">NA()</definedName>
    <definedName name="data57_2_4">NA()</definedName>
    <definedName name="data57_2_6">NA()</definedName>
    <definedName name="data57_20">NA()</definedName>
    <definedName name="data57_21">NA()</definedName>
    <definedName name="data57_22">NA()</definedName>
    <definedName name="data57_8">NA()</definedName>
    <definedName name="data58">NA()</definedName>
    <definedName name="data58_1">NA()</definedName>
    <definedName name="data58_15">NA()</definedName>
    <definedName name="data58_19">NA()</definedName>
    <definedName name="data58_2">NA()</definedName>
    <definedName name="data58_2_1">NA()</definedName>
    <definedName name="data58_2_2">NA()</definedName>
    <definedName name="data58_2_3">NA()</definedName>
    <definedName name="data58_2_4">NA()</definedName>
    <definedName name="data58_2_6">NA()</definedName>
    <definedName name="data58_20">NA()</definedName>
    <definedName name="data58_21">NA()</definedName>
    <definedName name="data58_22">NA()</definedName>
    <definedName name="data58_8">NA()</definedName>
    <definedName name="data59">NA()</definedName>
    <definedName name="data59_1">NA()</definedName>
    <definedName name="data59_15">NA()</definedName>
    <definedName name="data59_19">NA()</definedName>
    <definedName name="data59_2">NA()</definedName>
    <definedName name="data59_2_1">NA()</definedName>
    <definedName name="data59_2_2">NA()</definedName>
    <definedName name="data59_2_3">NA()</definedName>
    <definedName name="data59_2_4">NA()</definedName>
    <definedName name="data59_2_6">NA()</definedName>
    <definedName name="data59_20">NA()</definedName>
    <definedName name="data59_21">NA()</definedName>
    <definedName name="data59_22">NA()</definedName>
    <definedName name="data59_8">NA()</definedName>
    <definedName name="DATA6">"#REF!"</definedName>
    <definedName name="DATA6_1">"#REF!"</definedName>
    <definedName name="data60">NA()</definedName>
    <definedName name="data60_1">NA()</definedName>
    <definedName name="data60_15">NA()</definedName>
    <definedName name="data60_19">NA()</definedName>
    <definedName name="data60_2">NA()</definedName>
    <definedName name="data60_2_1">NA()</definedName>
    <definedName name="data60_2_2">NA()</definedName>
    <definedName name="data60_2_3">NA()</definedName>
    <definedName name="data60_2_4">NA()</definedName>
    <definedName name="data60_2_6">NA()</definedName>
    <definedName name="data60_20">NA()</definedName>
    <definedName name="data60_21">NA()</definedName>
    <definedName name="data60_22">NA()</definedName>
    <definedName name="data60_8">NA()</definedName>
    <definedName name="data61">NA()</definedName>
    <definedName name="data61_1">NA()</definedName>
    <definedName name="data61_15">NA()</definedName>
    <definedName name="data61_19">NA()</definedName>
    <definedName name="data61_2">NA()</definedName>
    <definedName name="data61_2_1">NA()</definedName>
    <definedName name="data61_2_2">NA()</definedName>
    <definedName name="data61_2_3">NA()</definedName>
    <definedName name="data61_2_4">NA()</definedName>
    <definedName name="data61_2_6">NA()</definedName>
    <definedName name="data61_20">NA()</definedName>
    <definedName name="data61_21">NA()</definedName>
    <definedName name="data61_22">NA()</definedName>
    <definedName name="data61_8">NA()</definedName>
    <definedName name="data62">NA()</definedName>
    <definedName name="data62_1">NA()</definedName>
    <definedName name="data62_15">NA()</definedName>
    <definedName name="data62_19">NA()</definedName>
    <definedName name="data62_2">NA()</definedName>
    <definedName name="data62_2_1">NA()</definedName>
    <definedName name="data62_2_2">NA()</definedName>
    <definedName name="data62_2_3">NA()</definedName>
    <definedName name="data62_2_4">NA()</definedName>
    <definedName name="data62_2_6">NA()</definedName>
    <definedName name="data62_20">NA()</definedName>
    <definedName name="data62_21">NA()</definedName>
    <definedName name="data62_22">NA()</definedName>
    <definedName name="data62_8">NA()</definedName>
    <definedName name="data63">NA()</definedName>
    <definedName name="data63_1">NA()</definedName>
    <definedName name="data63_15">NA()</definedName>
    <definedName name="data63_19">NA()</definedName>
    <definedName name="data63_2">NA()</definedName>
    <definedName name="data63_2_1">NA()</definedName>
    <definedName name="data63_2_2">NA()</definedName>
    <definedName name="data63_2_3">NA()</definedName>
    <definedName name="data63_2_4">NA()</definedName>
    <definedName name="data63_2_6">NA()</definedName>
    <definedName name="data63_20">NA()</definedName>
    <definedName name="data63_21">NA()</definedName>
    <definedName name="data63_22">NA()</definedName>
    <definedName name="data63_8">NA()</definedName>
    <definedName name="data64">NA()</definedName>
    <definedName name="data64_1">NA()</definedName>
    <definedName name="data64_15">NA()</definedName>
    <definedName name="data64_19">NA()</definedName>
    <definedName name="data64_2">NA()</definedName>
    <definedName name="data64_2_1">NA()</definedName>
    <definedName name="data64_2_2">NA()</definedName>
    <definedName name="data64_2_3">NA()</definedName>
    <definedName name="data64_2_4">NA()</definedName>
    <definedName name="data64_2_6">NA()</definedName>
    <definedName name="data64_20">NA()</definedName>
    <definedName name="data64_21">NA()</definedName>
    <definedName name="data64_22">NA()</definedName>
    <definedName name="data64_8">NA()</definedName>
    <definedName name="data65">NA()</definedName>
    <definedName name="data65_1">NA()</definedName>
    <definedName name="data65_15">NA()</definedName>
    <definedName name="data65_19">NA()</definedName>
    <definedName name="data65_2">NA()</definedName>
    <definedName name="data65_2_1">NA()</definedName>
    <definedName name="data65_2_2">NA()</definedName>
    <definedName name="data65_2_3">NA()</definedName>
    <definedName name="data65_2_4">NA()</definedName>
    <definedName name="data65_2_6">NA()</definedName>
    <definedName name="data65_20">NA()</definedName>
    <definedName name="data65_21">NA()</definedName>
    <definedName name="data65_22">NA()</definedName>
    <definedName name="data65_8">NA()</definedName>
    <definedName name="data66">NA()</definedName>
    <definedName name="data66_1">NA()</definedName>
    <definedName name="data66_15">NA()</definedName>
    <definedName name="data66_19">NA()</definedName>
    <definedName name="data66_2">NA()</definedName>
    <definedName name="data66_2_1">NA()</definedName>
    <definedName name="data66_2_2">NA()</definedName>
    <definedName name="data66_2_3">NA()</definedName>
    <definedName name="data66_2_4">NA()</definedName>
    <definedName name="data66_2_6">NA()</definedName>
    <definedName name="data66_20">NA()</definedName>
    <definedName name="data66_21">NA()</definedName>
    <definedName name="data66_22">NA()</definedName>
    <definedName name="data66_8">NA()</definedName>
    <definedName name="data67">NA()</definedName>
    <definedName name="data67_1">NA()</definedName>
    <definedName name="data67_15">NA()</definedName>
    <definedName name="data67_19">NA()</definedName>
    <definedName name="data67_2">NA()</definedName>
    <definedName name="data67_2_1">NA()</definedName>
    <definedName name="data67_2_2">NA()</definedName>
    <definedName name="data67_2_3">NA()</definedName>
    <definedName name="data67_2_4">NA()</definedName>
    <definedName name="data67_2_6">NA()</definedName>
    <definedName name="data67_20">NA()</definedName>
    <definedName name="data67_21">NA()</definedName>
    <definedName name="data67_22">NA()</definedName>
    <definedName name="data67_8">NA()</definedName>
    <definedName name="data68">NA()</definedName>
    <definedName name="data68_1">NA()</definedName>
    <definedName name="data68_15">NA()</definedName>
    <definedName name="data68_19">NA()</definedName>
    <definedName name="data68_2">NA()</definedName>
    <definedName name="data68_2_1">NA()</definedName>
    <definedName name="data68_2_2">NA()</definedName>
    <definedName name="data68_2_3">NA()</definedName>
    <definedName name="data68_2_4">NA()</definedName>
    <definedName name="data68_2_6">NA()</definedName>
    <definedName name="data68_20">NA()</definedName>
    <definedName name="data68_21">NA()</definedName>
    <definedName name="data68_22">NA()</definedName>
    <definedName name="data68_8">NA()</definedName>
    <definedName name="data69">NA()</definedName>
    <definedName name="data69_1">NA()</definedName>
    <definedName name="data69_15">NA()</definedName>
    <definedName name="data69_19">NA()</definedName>
    <definedName name="data69_2">NA()</definedName>
    <definedName name="data69_2_1">NA()</definedName>
    <definedName name="data69_2_2">NA()</definedName>
    <definedName name="data69_2_3">NA()</definedName>
    <definedName name="data69_2_4">NA()</definedName>
    <definedName name="data69_2_6">NA()</definedName>
    <definedName name="data69_20">NA()</definedName>
    <definedName name="data69_21">NA()</definedName>
    <definedName name="data69_22">NA()</definedName>
    <definedName name="data69_8">NA()</definedName>
    <definedName name="DATA7">"#REF!"</definedName>
    <definedName name="DATA7_1">"#REF!"</definedName>
    <definedName name="data70">NA()</definedName>
    <definedName name="data70_1">NA()</definedName>
    <definedName name="data70_15">NA()</definedName>
    <definedName name="data70_19">NA()</definedName>
    <definedName name="data70_2">NA()</definedName>
    <definedName name="data70_2_1">NA()</definedName>
    <definedName name="data70_2_2">NA()</definedName>
    <definedName name="data70_2_3">NA()</definedName>
    <definedName name="data70_2_4">NA()</definedName>
    <definedName name="data70_2_6">NA()</definedName>
    <definedName name="data70_20">NA()</definedName>
    <definedName name="data70_21">NA()</definedName>
    <definedName name="data70_22">NA()</definedName>
    <definedName name="data70_8">NA()</definedName>
    <definedName name="DATA8">"#REF!"</definedName>
    <definedName name="DATA8_1">"#REF!"</definedName>
    <definedName name="DATA9">"#REF!"</definedName>
    <definedName name="DATA9_1">"#REF!"</definedName>
    <definedName name="_xlnm.Database">#REF!</definedName>
    <definedName name="Date_1">"#REF!"</definedName>
    <definedName name="Date_2">"#REF!"</definedName>
    <definedName name="DDDD">#REF!</definedName>
    <definedName name="DEVOFFICE">NA()</definedName>
    <definedName name="DEVOFFICE_1">"#N/A"</definedName>
    <definedName name="DEVOFFICE_2">NA()</definedName>
    <definedName name="df">NA()</definedName>
    <definedName name="dfrfds">NA()</definedName>
    <definedName name="DFSA" localSheetId="1">IF(#REF!=OFFSET(_xlnm.Database,ROWS(_xlnm.Database),COLUMNS(_xlnm.Database)-1,1,1),"OK",OFFSET(_xlnm.Database,ROWS(_xlnm.Database),COLUMNS(_xlnm.Database)-1,1,1)-#REF!)</definedName>
    <definedName name="DFSA" localSheetId="3">IF(#REF!=OFFSET(_xlnm.Database,ROWS(_xlnm.Database),COLUMNS(_xlnm.Database)-1,1,1),"OK",OFFSET(_xlnm.Database,ROWS(_xlnm.Database),COLUMNS(_xlnm.Database)-1,1,1)-#REF!)</definedName>
    <definedName name="DFSA">IF(#REF!=OFFSET(_xlnm.Database,ROWS(_xlnm.Database),COLUMNS(_xlnm.Database)-1,1,1),"OK",OFFSET(_xlnm.Database,ROWS(_xlnm.Database),COLUMNS(_xlnm.Database)-1,1,1)-#REF!)</definedName>
    <definedName name="DIV">NA()</definedName>
    <definedName name="DIV_1">"#N/A"</definedName>
    <definedName name="DIV_2">"#N/A"</definedName>
    <definedName name="DIV_3">"#N/A"</definedName>
    <definedName name="DIV_4">"#N/A"</definedName>
    <definedName name="DIV_5">"#N/A"</definedName>
    <definedName name="DIV_6">"#N/A"</definedName>
    <definedName name="DIV_7">"#N/A"</definedName>
    <definedName name="DIV_8">NA()</definedName>
    <definedName name="DIVISION">NA()</definedName>
    <definedName name="DIVISION_1">"#N/A"</definedName>
    <definedName name="DIVISION_2">"#N/A"</definedName>
    <definedName name="DIVISION_3">"#N/A"</definedName>
    <definedName name="DIVISION_4">"#N/A"</definedName>
    <definedName name="DIVISION_5">"#N/A"</definedName>
    <definedName name="DIVISION_6">"#N/A"</definedName>
    <definedName name="DIVISION_7">"#N/A"</definedName>
    <definedName name="DIVISION_8">NA()</definedName>
    <definedName name="Division2">[5]Validation!$B$9</definedName>
    <definedName name="Division2_1">[6]Validation!$B$9</definedName>
    <definedName name="Division2_2">[6]Validation!$B$9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doc" localSheetId="1">{"Thuxm2.xls","Sheet1"}</definedName>
    <definedName name="doc" localSheetId="3">{"Thuxm2.xls","Sheet1"}</definedName>
    <definedName name="doc">{"Thuxm2.xls","Sheet1"}</definedName>
    <definedName name="Document_array" localSheetId="1">{"Thuxm2.xls","Sheet1"}</definedName>
    <definedName name="Document_array" localSheetId="3">{"Thuxm2.xls","Sheet1"}</definedName>
    <definedName name="Document_array">{"Thuxm2.xls","Sheet1"}</definedName>
    <definedName name="dsf">NA()</definedName>
    <definedName name="dsfgasgas">NA()</definedName>
    <definedName name="E">NA()</definedName>
    <definedName name="E_1">"#N/A"</definedName>
    <definedName name="E_2">NA()</definedName>
    <definedName name="EEE">#REF!</definedName>
    <definedName name="erro_1">"#REF!"</definedName>
    <definedName name="erro_2">"#REF!"</definedName>
    <definedName name="EUCOLOR">NA()</definedName>
    <definedName name="EUCOLOR_1">"#N/A"</definedName>
    <definedName name="EUCOLOR_2">"#N/A"</definedName>
    <definedName name="EUCOLOR_3">"#N/A"</definedName>
    <definedName name="EUCOLOR_4">"#N/A"</definedName>
    <definedName name="EUCOLOR_5">"#N/A"</definedName>
    <definedName name="EUCOLOR_6">"#N/A"</definedName>
    <definedName name="EUCOLOR_7">"#N/A"</definedName>
    <definedName name="EUCOLOR_8">NA()</definedName>
    <definedName name="EUCOLORSTAT">NA()</definedName>
    <definedName name="EUSIZE">NA()</definedName>
    <definedName name="EUSIZE2">NA()</definedName>
    <definedName name="EUSTYLE">NA()</definedName>
    <definedName name="EUSTYLE_1">"#N/A"</definedName>
    <definedName name="EUSTYLE_2">"#N/A"</definedName>
    <definedName name="EUSTYLE_3">"#N/A"</definedName>
    <definedName name="EUSTYLE_4">"#N/A"</definedName>
    <definedName name="EUSTYLE_5">"#N/A"</definedName>
    <definedName name="EUSTYLE_6">"#N/A"</definedName>
    <definedName name="EUSTYLE_7">"#N/A"</definedName>
    <definedName name="EUSTYLE_8">NA()</definedName>
    <definedName name="Excel_BuiltIn__FilterDatabase_4_3_6">NA()</definedName>
    <definedName name="Excel_BuiltIn__FilterDatabase_4_6">NA()</definedName>
    <definedName name="Excel_BuiltIn__FilterDatabase_4_9">NA()</definedName>
    <definedName name="Excel_BuiltIn__FilterDatabase_4_9_6">NA()</definedName>
    <definedName name="Excel_BuiltIn__FilterDatabase_8">NA()</definedName>
    <definedName name="Excel_BuiltIn__FilterDatabase_8_6">NA()</definedName>
    <definedName name="Excel_BuiltIn_Database">#REF!</definedName>
    <definedName name="Excel_BuiltIn_Print_Area_1">#REF!</definedName>
    <definedName name="Excel_BuiltIn_Print_Area_1_1">"#REF!"</definedName>
    <definedName name="Excel_BuiltIn_Print_Area_1_1_1_1_1_1_1_1_1_1_1_1_1">"$#REF!.$A$1:$M$67"</definedName>
    <definedName name="Excel_BuiltIn_Print_Area_1_1_1_1_1_1_1_1_1_1_1_1_1_1">"$#REF!.$A$1:$M$103"</definedName>
    <definedName name="Excel_BuiltIn_Print_Area_1_1_1_1_1_1_1_1_1_1_1_1_1_1_1">"$#REF!.$A$1:$M$71"</definedName>
    <definedName name="Excel_BuiltIn_Print_Area_1_1_1_1_1_1_1_1_1_1_1_1_1_1_1_1">"$#REF!.$A$1:$M$150"</definedName>
    <definedName name="Excel_BuiltIn_Print_Area_1_1_1_1_1_1_1_1_1_1_1_1_1_1_1_1_1">"$#REF!.$A$1:$M$71"</definedName>
    <definedName name="Excel_BuiltIn_Print_Area_1_1_1_1_1_1_1_1_1_1_1_1_1_1_1_1_1_1">"$#REF!.$A$1:$M$144"</definedName>
    <definedName name="Excel_BuiltIn_Print_Area_1_1_1_1_1_1_1_1_1_1_1_1_1_1_1_1_1_1_1">"$#REF!.$A$1:$M$149"</definedName>
    <definedName name="Excel_BuiltIn_Print_Area_1_1_1_1_1_1_1_1_1_1_1_1_1_1_1_1_1_1_1_1">"$#REF!.$A$1:$M$162"</definedName>
    <definedName name="Excel_BuiltIn_Print_Area_1_1_1_1_1_1_1_1_1_1_1_1_1_1_1_1_1_1_1_1_1">"$#REF!.$A$1:$M$13"</definedName>
    <definedName name="Excel_BuiltIn_Print_Area_10">"$#REF!.$A$1:$O$76"</definedName>
    <definedName name="Excel_BuiltIn_Print_Area_15_8">NA()</definedName>
    <definedName name="Excel_BuiltIn_Print_Area_2">#REF!</definedName>
    <definedName name="Excel_BuiltIn_Print_Area_2_1">"#REF!"</definedName>
    <definedName name="Excel_BuiltIn_Print_Area_2_1_1_1_1_1_1_1_1_1">"$#REF!.$A$1:$K$107"</definedName>
    <definedName name="Excel_BuiltIn_Print_Area_2_1_1_1_1_1_1_1_1_1_1">"$#REF!.$A$1:$K$74"</definedName>
    <definedName name="Excel_BuiltIn_Print_Area_2_1_1_1_1_1_1_1_1_1_1_1">"$#REF!.$A$1:$M$71"</definedName>
    <definedName name="Excel_BuiltIn_Print_Area_2_1_1_1_1_1_1_1_1_1_1_1_1">"$#REF!.$A$1:$L$71"</definedName>
    <definedName name="Excel_BuiltIn_Print_Area_2_1_1_1_1_1_1_1_1_1_1_1_1_1">"$#REF!.$A$1:$M$162"</definedName>
    <definedName name="Excel_BuiltIn_Print_Area_2_1_1_1_1_1_1_1_1_1_1_1_1_1_1">"$#REF!.$A$1:$M$162"</definedName>
    <definedName name="Excel_BuiltIn_Print_Area_2_1_1_1_1_1_1_1_1_1_1_1_1_1_1_1_1">"$#REF!.$A$1:$M$13"</definedName>
    <definedName name="Excel_BuiltIn_Print_Area_3">#REF!</definedName>
    <definedName name="Excel_BuiltIn_Print_Area_3_1">#REF!</definedName>
    <definedName name="Excel_BuiltIn_Print_Area_3_1_1">"$#REF!.$A$1:$O$79"</definedName>
    <definedName name="Excel_BuiltIn_Print_Area_3_1_1_1">"$#REF!.$A$1:$O$35"</definedName>
    <definedName name="Excel_BuiltIn_Print_Area_3_1_1_1_1">"$#REF!.$A$1:$M$71"</definedName>
    <definedName name="Excel_BuiltIn_Print_Area_3_1_1_1_1_1">"$#REF!.$A$1:$M$144"</definedName>
    <definedName name="Excel_BuiltIn_Print_Area_3_1_1_1_1_1_1">"$#REF!.$A$1:$M$167"</definedName>
    <definedName name="Excel_BuiltIn_Print_Area_3_1_1_1_1_1_1_1_1">"$#REF!.$A$1:$M$13"</definedName>
    <definedName name="Excel_BuiltIn_Print_Area_3_1_1_1_1_1_1_1_1_1">"$#REF!.$A$1:$M$13"</definedName>
    <definedName name="Excel_BuiltIn_Print_Area_4">"$#REF!.$A$1:$F$47"</definedName>
    <definedName name="Excel_BuiltIn_Print_Area_4_1">#REF!</definedName>
    <definedName name="Excel_BuiltIn_Print_Area_4_1_1">"$#REF!.$A$1:$O$35"</definedName>
    <definedName name="Excel_BuiltIn_Print_Area_4_1_1_1">"$#REF!.$A$1:$O$22"</definedName>
    <definedName name="Excel_BuiltIn_Print_Area_4_1_1_1_1">"$#REF!.$A$1:$M$13"</definedName>
    <definedName name="Excel_BuiltIn_Print_Area_5">#REF!</definedName>
    <definedName name="Excel_BuiltIn_Print_Area_5_1">"$#REF!.$A$1:$F$47"</definedName>
    <definedName name="Excel_BuiltIn_Print_Area_5_1_1">"$#REF!.$A$1:$O$35"</definedName>
    <definedName name="Excel_BuiltIn_Print_Area_5_1_1_1">"$#REF!.$A$1:$O$22"</definedName>
    <definedName name="Excel_BuiltIn_Print_Area_6">"$#REF!.$A$1:$O$72"</definedName>
    <definedName name="Excel_BuiltIn_Print_Area_6_1">"$#REF!.$A$1:$O$37"</definedName>
    <definedName name="Excel_BuiltIn_Print_Area_6_1_1">"$#REF!.$A$1:$N$161"</definedName>
    <definedName name="Excel_BuiltIn_Print_Area_6_1_1_1">"$#REF!.$A$1:$K$13"</definedName>
    <definedName name="Excel_BuiltIn_Print_Area_6_1_1_1_1">"$#REF!.$A$1:$L$13"</definedName>
    <definedName name="Excel_BuiltIn_Print_Area_6_1_1_1_1_1">"$#REF!.$A$1:$M$13"</definedName>
    <definedName name="Excel_BuiltIn_Print_Area_7">#REF!</definedName>
    <definedName name="Excel_BuiltIn_Print_Area_7_1">#REF!</definedName>
    <definedName name="Excel_BuiltIn_Print_Area_8">"$#REF!.$A$1:$O$22"</definedName>
    <definedName name="Excel_BuiltIn_Print_Area_9">"$#REF!.$A$1:$O$35"</definedName>
    <definedName name="Excel_BuiltIn_Print_Area_9_1">#REF!</definedName>
    <definedName name="Excel_BuiltIn_Print_Area_9_1_1">#REF!</definedName>
    <definedName name="Excel_BuiltIn_Print_Titles_1">#REF!</definedName>
    <definedName name="Excel_BuiltIn_Print_Titles_10">"$#REF!.$A$12:$IV$15"</definedName>
    <definedName name="Excel_BuiltIn_Print_Titles_5">#REF!</definedName>
    <definedName name="Excel_BuiltIn_Print_Titles_6">"$#REF!.$A$12:$IV$15"</definedName>
    <definedName name="Excel_BuiltIn_Print_Titles_7">#REF!</definedName>
    <definedName name="Excel_BuiltIn_Print_Titles_8">"$#REF!.$A$12:$IV$15"</definedName>
    <definedName name="Excel_BuiltIn_Print_Titles_9">"$#REF!.$A$12:$IV$15"</definedName>
    <definedName name="extrc.data">"RC:R[7]C[23]"</definedName>
    <definedName name="F">#REF!</definedName>
    <definedName name="F_1">"#N/A"</definedName>
    <definedName name="F_2">NA()</definedName>
    <definedName name="F_CHECK" localSheetId="1">IF(#REF!=OFFSET(_xlnm.Database,ROWS(_xlnm.Database),COLUMNS(_xlnm.Database)-1,1,1),"OK",OFFSET(_xlnm.Database,ROWS(_xlnm.Database),COLUMNS(_xlnm.Database)-1,1,1)-#REF!)</definedName>
    <definedName name="F_CHECK" localSheetId="3">IF(#REF!=OFFSET(_xlnm.Database,ROWS(_xlnm.Database),COLUMNS(_xlnm.Database)-1,1,1),"OK",OFFSET(_xlnm.Database,ROWS(_xlnm.Database),COLUMNS(_xlnm.Database)-1,1,1)-#REF!)</definedName>
    <definedName name="F_CHECK">IF(#REF!=OFFSET(_xlnm.Database,ROWS(_xlnm.Database),COLUMNS(_xlnm.Database)-1,1,1),"OK",OFFSET(_xlnm.Database,ROWS(_xlnm.Database),COLUMNS(_xlnm.Database)-1,1,1)-#REF!)</definedName>
    <definedName name="F_SZ" localSheetId="1">SUM(IF(#REF!=STD_1,IF(#REF!=0,IF(CT_Q=0,1,CT_Q)*SZ_13,IF(#REF!=STD_2,IF(CT_Q=0,1,CT_Q)*SZ_13))))</definedName>
    <definedName name="F_SZ" localSheetId="3">SUM(IF(#REF!=STD_1,IF(#REF!=0,IF(CT_Q=0,1,CT_Q)*SZ_13,IF(#REF!=STD_2,IF(CT_Q=0,1,CT_Q)*SZ_13))))</definedName>
    <definedName name="F_SZ">SUM(IF(#REF!=STD_1,IF(#REF!=0,IF(CT_Q=0,1,CT_Q)*SZ_13,IF(#REF!=STD_2,IF(CT_Q=0,1,CT_Q)*SZ_13))))</definedName>
    <definedName name="F_SZ_1" localSheetId="1">SUM(IF(#REF!=STD_1,IF(#REF!=0,IF(CT_Q=0,1,CT_Q)*SZ_1,IF(#REF!=STD_2,IF(CT_Q=0,1,CT_Q)*SZ_1))))</definedName>
    <definedName name="F_SZ_1" localSheetId="3">SUM(IF(#REF!=STD_1,IF(#REF!=0,IF(CT_Q=0,1,CT_Q)*SZ_1,IF(#REF!=STD_2,IF(CT_Q=0,1,CT_Q)*SZ_1))))</definedName>
    <definedName name="F_SZ_1">SUM(IF(#REF!=STD_1,IF(#REF!=0,IF(CT_Q=0,1,CT_Q)*SZ_1,IF(#REF!=STD_2,IF(CT_Q=0,1,CT_Q)*SZ_1))))</definedName>
    <definedName name="F_SZ_10" localSheetId="1">SUM(IF(#REF!=STD_1,IF(#REF!=0,IF(CT_Q=0,1,CT_Q)*SZ_10,IF(#REF!=STD_2,IF(CT_Q=0,1,CT_Q)*SZ_10))))</definedName>
    <definedName name="F_SZ_10" localSheetId="3">SUM(IF(#REF!=STD_1,IF(#REF!=0,IF(CT_Q=0,1,CT_Q)*SZ_10,IF(#REF!=STD_2,IF(CT_Q=0,1,CT_Q)*SZ_10))))</definedName>
    <definedName name="F_SZ_10">SUM(IF(#REF!=STD_1,IF(#REF!=0,IF(CT_Q=0,1,CT_Q)*SZ_10,IF(#REF!=STD_2,IF(CT_Q=0,1,CT_Q)*SZ_10))))</definedName>
    <definedName name="F_SZ_11" localSheetId="1">SUM(IF(#REF!=STD_1,IF(#REF!=0,IF(CT_Q=0,1,CT_Q)*SZ_11,IF(#REF!=STD_2,IF(CT_Q=0,1,CT_Q)*SZ_11))))</definedName>
    <definedName name="F_SZ_11" localSheetId="3">SUM(IF(#REF!=STD_1,IF(#REF!=0,IF(CT_Q=0,1,CT_Q)*SZ_11,IF(#REF!=STD_2,IF(CT_Q=0,1,CT_Q)*SZ_11))))</definedName>
    <definedName name="F_SZ_11">SUM(IF(#REF!=STD_1,IF(#REF!=0,IF(CT_Q=0,1,CT_Q)*SZ_11,IF(#REF!=STD_2,IF(CT_Q=0,1,CT_Q)*SZ_11))))</definedName>
    <definedName name="F_SZ_12" localSheetId="1">SUM(IF(#REF!=STD_1,IF(#REF!=0,IF(CT_Q=0,1,CT_Q)*SZ_12,IF(#REF!=STD_2,IF(CT_Q=0,1,CT_Q)*SZ_12))))</definedName>
    <definedName name="F_SZ_12" localSheetId="3">SUM(IF(#REF!=STD_1,IF(#REF!=0,IF(CT_Q=0,1,CT_Q)*SZ_12,IF(#REF!=STD_2,IF(CT_Q=0,1,CT_Q)*SZ_12))))</definedName>
    <definedName name="F_SZ_12">SUM(IF(#REF!=STD_1,IF(#REF!=0,IF(CT_Q=0,1,CT_Q)*SZ_12,IF(#REF!=STD_2,IF(CT_Q=0,1,CT_Q)*SZ_12))))</definedName>
    <definedName name="F_SZ_13" localSheetId="1">SUM(IF(#REF!=STD_1,IF(#REF!=0,IF(CT_Q=0,1,CT_Q)*SZ_13,IF(#REF!=STD_2,IF(CT_Q=0,1,CT_Q)*SZ_13))))</definedName>
    <definedName name="F_SZ_13" localSheetId="3">SUM(IF(#REF!=STD_1,IF(#REF!=0,IF(CT_Q=0,1,CT_Q)*SZ_13,IF(#REF!=STD_2,IF(CT_Q=0,1,CT_Q)*SZ_13))))</definedName>
    <definedName name="F_SZ_13">SUM(IF(#REF!=STD_1,IF(#REF!=0,IF(CT_Q=0,1,CT_Q)*SZ_13,IF(#REF!=STD_2,IF(CT_Q=0,1,CT_Q)*SZ_13))))</definedName>
    <definedName name="F_SZ_14" localSheetId="1">SUM(IF(#REF!=STD_1,IF(#REF!=0,IF(CT_Q=0,1,CT_Q)*SZ_14,IF(#REF!=STD_2,IF(CT_Q=0,1,CT_Q)*SZ_14))))</definedName>
    <definedName name="F_SZ_14" localSheetId="3">SUM(IF(#REF!=STD_1,IF(#REF!=0,IF(CT_Q=0,1,CT_Q)*SZ_14,IF(#REF!=STD_2,IF(CT_Q=0,1,CT_Q)*SZ_14))))</definedName>
    <definedName name="F_SZ_14">SUM(IF(#REF!=STD_1,IF(#REF!=0,IF(CT_Q=0,1,CT_Q)*SZ_14,IF(#REF!=STD_2,IF(CT_Q=0,1,CT_Q)*SZ_14))))</definedName>
    <definedName name="F_SZ_15" localSheetId="1">SUM(IF(#REF!=STD_1,IF(#REF!=0,IF(CT_Q=0,1,CT_Q)*SZ_15,IF(#REF!=STD_2,IF(CT_Q=0,1,CT_Q)*SZ_15))))</definedName>
    <definedName name="F_SZ_15" localSheetId="3">SUM(IF(#REF!=STD_1,IF(#REF!=0,IF(CT_Q=0,1,CT_Q)*SZ_15,IF(#REF!=STD_2,IF(CT_Q=0,1,CT_Q)*SZ_15))))</definedName>
    <definedName name="F_SZ_15">SUM(IF(#REF!=STD_1,IF(#REF!=0,IF(CT_Q=0,1,CT_Q)*SZ_15,IF(#REF!=STD_2,IF(CT_Q=0,1,CT_Q)*SZ_15))))</definedName>
    <definedName name="F_SZ_16" localSheetId="1">SUM(IF(#REF!=STD_1,IF(#REF!=0,IF(CT_Q=0,1,CT_Q)*SZ_16,IF(#REF!=STD_2,IF(CT_Q=0,1,CT_Q)*SZ_16))))</definedName>
    <definedName name="F_SZ_16" localSheetId="3">SUM(IF(#REF!=STD_1,IF(#REF!=0,IF(CT_Q=0,1,CT_Q)*SZ_16,IF(#REF!=STD_2,IF(CT_Q=0,1,CT_Q)*SZ_16))))</definedName>
    <definedName name="F_SZ_16">SUM(IF(#REF!=STD_1,IF(#REF!=0,IF(CT_Q=0,1,CT_Q)*SZ_16,IF(#REF!=STD_2,IF(CT_Q=0,1,CT_Q)*SZ_16))))</definedName>
    <definedName name="F_SZ_17" localSheetId="1">SUM(IF(#REF!=STD_1,IF(#REF!=0,IF(CT_Q=0,1,CT_Q)*SZ_17,IF(#REF!=STD_2,IF(CT_Q=0,1,CT_Q)*SZ_17))))</definedName>
    <definedName name="F_SZ_17" localSheetId="3">SUM(IF(#REF!=STD_1,IF(#REF!=0,IF(CT_Q=0,1,CT_Q)*SZ_17,IF(#REF!=STD_2,IF(CT_Q=0,1,CT_Q)*SZ_17))))</definedName>
    <definedName name="F_SZ_17">SUM(IF(#REF!=STD_1,IF(#REF!=0,IF(CT_Q=0,1,CT_Q)*SZ_17,IF(#REF!=STD_2,IF(CT_Q=0,1,CT_Q)*SZ_17))))</definedName>
    <definedName name="F_SZ_18" localSheetId="1">SUM(IF(#REF!=STD_1,IF(#REF!=0,IF(CT_Q=0,1,CT_Q)*SZ_18,IF(#REF!=STD_2,IF(CT_Q=0,1,CT_Q)*SZ_18))))</definedName>
    <definedName name="F_SZ_18" localSheetId="3">SUM(IF(#REF!=STD_1,IF(#REF!=0,IF(CT_Q=0,1,CT_Q)*SZ_18,IF(#REF!=STD_2,IF(CT_Q=0,1,CT_Q)*SZ_18))))</definedName>
    <definedName name="F_SZ_18">SUM(IF(#REF!=STD_1,IF(#REF!=0,IF(CT_Q=0,1,CT_Q)*SZ_18,IF(#REF!=STD_2,IF(CT_Q=0,1,CT_Q)*SZ_18))))</definedName>
    <definedName name="F_SZ_19" localSheetId="1">SUM(IF(#REF!=STD_1,IF(#REF!=0,IF(CT_Q=0,1,CT_Q)*SZ_19,IF(#REF!=STD_2,IF(CT_Q=0,1,CT_Q)*SZ_19))))</definedName>
    <definedName name="F_SZ_19" localSheetId="3">SUM(IF(#REF!=STD_1,IF(#REF!=0,IF(CT_Q=0,1,CT_Q)*SZ_19,IF(#REF!=STD_2,IF(CT_Q=0,1,CT_Q)*SZ_19))))</definedName>
    <definedName name="F_SZ_19">SUM(IF(#REF!=STD_1,IF(#REF!=0,IF(CT_Q=0,1,CT_Q)*SZ_19,IF(#REF!=STD_2,IF(CT_Q=0,1,CT_Q)*SZ_19))))</definedName>
    <definedName name="F_SZ_2" localSheetId="1">SUM(IF(#REF!=STD_1,IF(#REF!=0,IF(CT_Q=0,1,CT_Q)*SZ_2,IF(#REF!=STD_2,IF(CT_Q=0,1,CT_Q)*SZ_2))))</definedName>
    <definedName name="F_SZ_2" localSheetId="3">SUM(IF(#REF!=STD_1,IF(#REF!=0,IF(CT_Q=0,1,CT_Q)*SZ_2,IF(#REF!=STD_2,IF(CT_Q=0,1,CT_Q)*SZ_2))))</definedName>
    <definedName name="F_SZ_2">SUM(IF(#REF!=STD_1,IF(#REF!=0,IF(CT_Q=0,1,CT_Q)*SZ_2,IF(#REF!=STD_2,IF(CT_Q=0,1,CT_Q)*SZ_2))))</definedName>
    <definedName name="F_SZ_20" localSheetId="1">SUM(IF(#REF!=STD_1,IF(#REF!=0,IF(CT_Q=0,1,CT_Q)*SZ_20,IF(#REF!=STD_2,IF(CT_Q=0,1,CT_Q)*SZ_20))))</definedName>
    <definedName name="F_SZ_20" localSheetId="3">SUM(IF(#REF!=STD_1,IF(#REF!=0,IF(CT_Q=0,1,CT_Q)*SZ_20,IF(#REF!=STD_2,IF(CT_Q=0,1,CT_Q)*SZ_20))))</definedName>
    <definedName name="F_SZ_20">SUM(IF(#REF!=STD_1,IF(#REF!=0,IF(CT_Q=0,1,CT_Q)*SZ_20,IF(#REF!=STD_2,IF(CT_Q=0,1,CT_Q)*SZ_20))))</definedName>
    <definedName name="F_SZ_200" localSheetId="1">SUM(IF(#REF!=STD_1,IF(#REF!=0,IF(CT_Q=0,1,CT_Q)*SZ_14,IF(#REF!=STD_2,IF(CT_Q=0,1,CT_Q)*SZ_14))))</definedName>
    <definedName name="F_SZ_200" localSheetId="3">SUM(IF(#REF!=STD_1,IF(#REF!=0,IF(CT_Q=0,1,CT_Q)*SZ_14,IF(#REF!=STD_2,IF(CT_Q=0,1,CT_Q)*SZ_14))))</definedName>
    <definedName name="F_SZ_200">SUM(IF(#REF!=STD_1,IF(#REF!=0,IF(CT_Q=0,1,CT_Q)*SZ_14,IF(#REF!=STD_2,IF(CT_Q=0,1,CT_Q)*SZ_14))))</definedName>
    <definedName name="F_SZ_21" localSheetId="1">SUM(IF(#REF!=STD_1,IF(#REF!=0,IF(CT_Q=0,1,CT_Q)*SZ_21,IF(#REF!=STD_2,IF(CT_Q=0,1,CT_Q)*SZ_21))))</definedName>
    <definedName name="F_SZ_21" localSheetId="3">SUM(IF(#REF!=STD_1,IF(#REF!=0,IF(CT_Q=0,1,CT_Q)*SZ_21,IF(#REF!=STD_2,IF(CT_Q=0,1,CT_Q)*SZ_21))))</definedName>
    <definedName name="F_SZ_21">SUM(IF(#REF!=STD_1,IF(#REF!=0,IF(CT_Q=0,1,CT_Q)*SZ_21,IF(#REF!=STD_2,IF(CT_Q=0,1,CT_Q)*SZ_21))))</definedName>
    <definedName name="F_SZ_3" localSheetId="1">SUM(IF(#REF!=STD_1,IF(#REF!=0,IF(CT_Q=0,1,CT_Q)*SZ_3,IF(#REF!=STD_2,IF(CT_Q=0,1,CT_Q)*SZ_3))))</definedName>
    <definedName name="F_SZ_3" localSheetId="3">SUM(IF(#REF!=STD_1,IF(#REF!=0,IF(CT_Q=0,1,CT_Q)*SZ_3,IF(#REF!=STD_2,IF(CT_Q=0,1,CT_Q)*SZ_3))))</definedName>
    <definedName name="F_SZ_3">SUM(IF(#REF!=STD_1,IF(#REF!=0,IF(CT_Q=0,1,CT_Q)*SZ_3,IF(#REF!=STD_2,IF(CT_Q=0,1,CT_Q)*SZ_3))))</definedName>
    <definedName name="F_SZ_4" localSheetId="1">SUM(IF(#REF!=STD_1,IF(#REF!=0,IF(CT_Q=0,1,CT_Q)*SZ_4,IF(#REF!=STD_2,IF(CT_Q=0,1,CT_Q)*SZ_4))))</definedName>
    <definedName name="F_SZ_4" localSheetId="3">SUM(IF(#REF!=STD_1,IF(#REF!=0,IF(CT_Q=0,1,CT_Q)*SZ_4,IF(#REF!=STD_2,IF(CT_Q=0,1,CT_Q)*SZ_4))))</definedName>
    <definedName name="F_SZ_4">SUM(IF(#REF!=STD_1,IF(#REF!=0,IF(CT_Q=0,1,CT_Q)*SZ_4,IF(#REF!=STD_2,IF(CT_Q=0,1,CT_Q)*SZ_4))))</definedName>
    <definedName name="F_SZ_5" localSheetId="1">SUM(IF(#REF!=STD_1,IF(#REF!=0,IF(CT_Q=0,1,CT_Q)*SZ_5,IF(#REF!=STD_2,IF(CT_Q=0,1,CT_Q)*SZ_5))))</definedName>
    <definedName name="F_SZ_5" localSheetId="3">SUM(IF(#REF!=STD_1,IF(#REF!=0,IF(CT_Q=0,1,CT_Q)*SZ_5,IF(#REF!=STD_2,IF(CT_Q=0,1,CT_Q)*SZ_5))))</definedName>
    <definedName name="F_SZ_5">SUM(IF(#REF!=STD_1,IF(#REF!=0,IF(CT_Q=0,1,CT_Q)*SZ_5,IF(#REF!=STD_2,IF(CT_Q=0,1,CT_Q)*SZ_5))))</definedName>
    <definedName name="F_SZ_6" localSheetId="1">SUM(IF(#REF!=STD_1,IF(#REF!=0,IF(CT_Q=0,1,CT_Q)*SZ_6,IF(#REF!=STD_2,IF(CT_Q=0,1,CT_Q)*SZ_6))))</definedName>
    <definedName name="F_SZ_6" localSheetId="3">SUM(IF(#REF!=STD_1,IF(#REF!=0,IF(CT_Q=0,1,CT_Q)*SZ_6,IF(#REF!=STD_2,IF(CT_Q=0,1,CT_Q)*SZ_6))))</definedName>
    <definedName name="F_SZ_6">SUM(IF(#REF!=STD_1,IF(#REF!=0,IF(CT_Q=0,1,CT_Q)*SZ_6,IF(#REF!=STD_2,IF(CT_Q=0,1,CT_Q)*SZ_6))))</definedName>
    <definedName name="F_SZ_7" localSheetId="1">SUM(IF(#REF!=STD_1,IF(#REF!=0,IF(CT_Q=0,1,CT_Q)*SZ_7,IF(#REF!=STD_2,IF(CT_Q=0,1,CT_Q)*SZ_7))))</definedName>
    <definedName name="F_SZ_7" localSheetId="3">SUM(IF(#REF!=STD_1,IF(#REF!=0,IF(CT_Q=0,1,CT_Q)*SZ_7,IF(#REF!=STD_2,IF(CT_Q=0,1,CT_Q)*SZ_7))))</definedName>
    <definedName name="F_SZ_7">SUM(IF(#REF!=STD_1,IF(#REF!=0,IF(CT_Q=0,1,CT_Q)*SZ_7,IF(#REF!=STD_2,IF(CT_Q=0,1,CT_Q)*SZ_7))))</definedName>
    <definedName name="F_SZ_8" localSheetId="1">SUM(IF(#REF!=STD_1,IF(#REF!=0,IF(CT_Q=0,1,CT_Q)*SZ_8,IF(#REF!=STD_2,IF(CT_Q=0,1,CT_Q)*SZ_8))))</definedName>
    <definedName name="F_SZ_8" localSheetId="3">SUM(IF(#REF!=STD_1,IF(#REF!=0,IF(CT_Q=0,1,CT_Q)*SZ_8,IF(#REF!=STD_2,IF(CT_Q=0,1,CT_Q)*SZ_8))))</definedName>
    <definedName name="F_SZ_8">SUM(IF(#REF!=STD_1,IF(#REF!=0,IF(CT_Q=0,1,CT_Q)*SZ_8,IF(#REF!=STD_2,IF(CT_Q=0,1,CT_Q)*SZ_8))))</definedName>
    <definedName name="F_SZ_9" localSheetId="1">SUM(IF(#REF!=STD_1,IF(#REF!=0,IF(CT_Q=0,1,CT_Q)*SZ_9,IF(#REF!=STD_2,IF(CT_Q=0,1,CT_Q)*SZ_9))))</definedName>
    <definedName name="F_SZ_9" localSheetId="3">SUM(IF(#REF!=STD_1,IF(#REF!=0,IF(CT_Q=0,1,CT_Q)*SZ_9,IF(#REF!=STD_2,IF(CT_Q=0,1,CT_Q)*SZ_9))))</definedName>
    <definedName name="F_SZ_9">SUM(IF(#REF!=STD_1,IF(#REF!=0,IF(CT_Q=0,1,CT_Q)*SZ_9,IF(#REF!=STD_2,IF(CT_Q=0,1,CT_Q)*SZ_9))))</definedName>
    <definedName name="F_SZ_TOTAL">SUM(#REF!)</definedName>
    <definedName name="FabricArticle">#N/A</definedName>
    <definedName name="FabricCode">#N/A</definedName>
    <definedName name="FabricColour">NA()</definedName>
    <definedName name="FabricDetail">#N/A</definedName>
    <definedName name="Factory">#REF!</definedName>
    <definedName name="FD">#REF!</definedName>
    <definedName name="FE" localSheetId="1">SUM(IF(#REF!=STD_1,IF(#REF!=0,IF(CT_Q=0,1,CT_Q)*SZ_17,IF(#REF!=STD_2,IF(CT_Q=0,1,CT_Q)*SZ_17))))</definedName>
    <definedName name="FE" localSheetId="3">SUM(IF(#REF!=STD_1,IF(#REF!=0,IF(CT_Q=0,1,CT_Q)*SZ_17,IF(#REF!=STD_2,IF(CT_Q=0,1,CT_Q)*SZ_17))))</definedName>
    <definedName name="FE">SUM(IF(#REF!=STD_1,IF(#REF!=0,IF(CT_Q=0,1,CT_Q)*SZ_17,IF(#REF!=STD_2,IF(CT_Q=0,1,CT_Q)*SZ_17))))</definedName>
    <definedName name="ff">[7]Validation:metrics!$A$457:$A$460</definedName>
    <definedName name="FFF" localSheetId="1">SUM(IF(#REF!=STD_1,IF(#REF!=0,IF(CT_Q=0,1,CT_Q)*SZ_19,IF(#REF!=STD_2,IF(CT_Q=0,1,CT_Q)*SZ_19))))</definedName>
    <definedName name="FFF" localSheetId="3">SUM(IF(#REF!=STD_1,IF(#REF!=0,IF(CT_Q=0,1,CT_Q)*SZ_19,IF(#REF!=STD_2,IF(CT_Q=0,1,CT_Q)*SZ_19))))</definedName>
    <definedName name="FFF">SUM(IF(#REF!=STD_1,IF(#REF!=0,IF(CT_Q=0,1,CT_Q)*SZ_19,IF(#REF!=STD_2,IF(CT_Q=0,1,CT_Q)*SZ_19))))</definedName>
    <definedName name="FFFF">#REF!</definedName>
    <definedName name="FFFFF">#REF!</definedName>
    <definedName name="FGDF" localSheetId="1">SUM(IF(#REF!=STD_1,IF(#REF!=0,IF(CT_Q=0,1,CT_Q)*SZ_20,IF(#REF!=STD_2,IF(CT_Q=0,1,CT_Q)*SZ_20))))</definedName>
    <definedName name="FGDF" localSheetId="3">SUM(IF(#REF!=STD_1,IF(#REF!=0,IF(CT_Q=0,1,CT_Q)*SZ_20,IF(#REF!=STD_2,IF(CT_Q=0,1,CT_Q)*SZ_20))))</definedName>
    <definedName name="FGDF">SUM(IF(#REF!=STD_1,IF(#REF!=0,IF(CT_Q=0,1,CT_Q)*SZ_20,IF(#REF!=STD_2,IF(CT_Q=0,1,CT_Q)*SZ_20))))</definedName>
    <definedName name="FORMAT_DATE">"dd-mmm-yyyy"</definedName>
    <definedName name="FORMAT_FLOAT">"#,0.00"</definedName>
    <definedName name="FORMAT_INTEGER">"#,0"</definedName>
    <definedName name="FORMAT_TIME">"hh:mm:ss"</definedName>
    <definedName name="FP">NA()</definedName>
    <definedName name="fsdfdsfsdfsdfd">NA()</definedName>
    <definedName name="FSER">#REF!</definedName>
    <definedName name="fsfsdfdf">NA()</definedName>
    <definedName name="FSZ" localSheetId="1">SUM(IF(#REF!=STD_1,IF(#REF!=0,IF(CT_Q=0,1,CT_Q)*SZ_21,IF(#REF!=STD_2,IF(CT_Q=0,1,CT_Q)*SZ_21))))</definedName>
    <definedName name="FSZ" localSheetId="3">SUM(IF(#REF!=STD_1,IF(#REF!=0,IF(CT_Q=0,1,CT_Q)*SZ_21,IF(#REF!=STD_2,IF(CT_Q=0,1,CT_Q)*SZ_21))))</definedName>
    <definedName name="FSZ">SUM(IF(#REF!=STD_1,IF(#REF!=0,IF(CT_Q=0,1,CT_Q)*SZ_21,IF(#REF!=STD_2,IF(CT_Q=0,1,CT_Q)*SZ_21))))</definedName>
    <definedName name="fv">NA()</definedName>
    <definedName name="G3A1">#REF!</definedName>
    <definedName name="GAEXP_1">"#REF!"</definedName>
    <definedName name="GAEXP_2">"#REF!"</definedName>
    <definedName name="GBLSTYLESTAT">NA()</definedName>
    <definedName name="ggggg">#REF!</definedName>
    <definedName name="GHG">NA()</definedName>
    <definedName name="ghhgfutg" localSheetId="1">SUM(IF(#REF!=STD_1,IF(#REF!=0,IF(CT_Q=0,1,CT_Q)*SZ_2,IF(#REF!=STD_2,IF(CT_Q=0,1,CT_Q)*SZ_2))))</definedName>
    <definedName name="ghhgfutg" localSheetId="3">SUM(IF(#REF!=STD_1,IF(#REF!=0,IF(CT_Q=0,1,CT_Q)*SZ_2,IF(#REF!=STD_2,IF(CT_Q=0,1,CT_Q)*SZ_2))))</definedName>
    <definedName name="ghhgfutg">SUM(IF(#REF!=STD_1,IF(#REF!=0,IF(CT_Q=0,1,CT_Q)*SZ_2,IF(#REF!=STD_2,IF(CT_Q=0,1,CT_Q)*SZ_2))))</definedName>
    <definedName name="GHJ">NA()</definedName>
    <definedName name="GLCOLOR">NA()</definedName>
    <definedName name="GLCOLOR_1">"#N/A"</definedName>
    <definedName name="GLCOLOR_2">NA()</definedName>
    <definedName name="GLSIZE">NA()</definedName>
    <definedName name="GLSIZE_1">"#N/A"</definedName>
    <definedName name="GLSIZE_2">"#N/A"</definedName>
    <definedName name="GLSIZE_3">"#N/A"</definedName>
    <definedName name="GLSIZE_4">"#N/A"</definedName>
    <definedName name="GLSIZE_5">"#N/A"</definedName>
    <definedName name="GLSIZE_6">"#N/A"</definedName>
    <definedName name="GLSIZE_7">"#N/A"</definedName>
    <definedName name="GLSIZE_8">NA()</definedName>
    <definedName name="GLSIZE2">NA()</definedName>
    <definedName name="GLSIZE2_1">"#N/A"</definedName>
    <definedName name="GLSIZE2_2">"#N/A"</definedName>
    <definedName name="GLSIZE2_3">"#N/A"</definedName>
    <definedName name="GLSIZE2_4">"#N/A"</definedName>
    <definedName name="GLSIZE2_5">"#N/A"</definedName>
    <definedName name="GLSIZE2_6">"#N/A"</definedName>
    <definedName name="GLSIZE2_7">"#N/A"</definedName>
    <definedName name="GLSIZE2_8">NA()</definedName>
    <definedName name="GLSTYLE">NA()</definedName>
    <definedName name="GLSTYLE_1">"#N/A"</definedName>
    <definedName name="GLSTYLE_2">"#N/A"</definedName>
    <definedName name="GLSTYLE_3">"#N/A"</definedName>
    <definedName name="GLSTYLE_4">"#N/A"</definedName>
    <definedName name="GLSTYLE_5">"#N/A"</definedName>
    <definedName name="GLSTYLE_6">"#N/A"</definedName>
    <definedName name="GLSTYLE_7">"#N/A"</definedName>
    <definedName name="GLSTYLE_8">NA()</definedName>
    <definedName name="GOO">#REF!</definedName>
    <definedName name="hfhfr">[7]Validation:metrics!$A$441:$A$446</definedName>
    <definedName name="HG" localSheetId="1">SUM(IF(#REF!=STD_1,IF(#REF!=0,IF(CT_Q=0,1,CT_Q)*SZ_20,IF(#REF!=STD_2,IF(CT_Q=0,1,CT_Q)*SZ_20))))</definedName>
    <definedName name="HG" localSheetId="3">SUM(IF(#REF!=STD_1,IF(#REF!=0,IF(CT_Q=0,1,CT_Q)*SZ_20,IF(#REF!=STD_2,IF(CT_Q=0,1,CT_Q)*SZ_20))))</definedName>
    <definedName name="HG">SUM(IF(#REF!=STD_1,IF(#REF!=0,IF(CT_Q=0,1,CT_Q)*SZ_20,IF(#REF!=STD_2,IF(CT_Q=0,1,CT_Q)*SZ_20))))</definedName>
    <definedName name="HGHDF">"#REF!"</definedName>
    <definedName name="HGHDF_1">"#REF!"</definedName>
    <definedName name="hhhfhjfjh" localSheetId="1">SUM(IF(#REF!=STD_1,IF(#REF!=0,IF(CT_Q=0,1,CT_Q)*SZ_4,IF(#REF!=STD_2,IF(CT_Q=0,1,CT_Q)*SZ_4))))</definedName>
    <definedName name="hhhfhjfjh" localSheetId="3">SUM(IF(#REF!=STD_1,IF(#REF!=0,IF(CT_Q=0,1,CT_Q)*SZ_4,IF(#REF!=STD_2,IF(CT_Q=0,1,CT_Q)*SZ_4))))</definedName>
    <definedName name="hhhfhjfjh">SUM(IF(#REF!=STD_1,IF(#REF!=0,IF(CT_Q=0,1,CT_Q)*SZ_4,IF(#REF!=STD_2,IF(CT_Q=0,1,CT_Q)*SZ_4))))</definedName>
    <definedName name="HJHH">NA()</definedName>
    <definedName name="HJKJK">NA()</definedName>
    <definedName name="HTML_CodePage">1252</definedName>
    <definedName name="HTML_Description">""</definedName>
    <definedName name="HTML_Email">""</definedName>
    <definedName name="HTML_Header">"Sheet1"</definedName>
    <definedName name="HTML_LastUpdate">"18-Jan-2002"</definedName>
    <definedName name="HTML_LineAfter">0</definedName>
    <definedName name="HTML_LineBefore">0</definedName>
    <definedName name="HTML_Name">"WS63-RINA"</definedName>
    <definedName name="HTML_OBDlg2">1</definedName>
    <definedName name="HTML_OBDlg4">1</definedName>
    <definedName name="HTML_OS">0</definedName>
    <definedName name="HTML_PathFile">"G:\Rina\MyHTML.htm"</definedName>
    <definedName name="HTML_Title">"KOPERASI"</definedName>
    <definedName name="hy">[8]DOCUMENT!$N$1939</definedName>
    <definedName name="hy_15">[9]DOCUMENT!$N$1939</definedName>
    <definedName name="hy_2">[8]DOCUMENT!$N$1939</definedName>
    <definedName name="hy_21">[10]DOCUMENT!$N$1939</definedName>
    <definedName name="I">NA()</definedName>
    <definedName name="I23A1">#REF!</definedName>
    <definedName name="IMPORT">OFFSET([4]MISC!$D$2,0,0,COUNTA(#REF!)-1)</definedName>
    <definedName name="IMPORT_BM_TARIF">NA()</definedName>
    <definedName name="IMPORT_CIF_FABRIC">NA()</definedName>
    <definedName name="IMPORT_KURS">NA()</definedName>
    <definedName name="IMPORT_QTY">NA()</definedName>
    <definedName name="IMPORT_UNIT">NA()</definedName>
    <definedName name="IMPORT_URAIAN_FABRIC">NA()</definedName>
    <definedName name="INSERT">OFFSET([2]DATA!$A$2,0,0,COUNTA([2]DATA:COLOUR!$A$1:$A$9)-1,COUNTA([2]DATA:COLOUR!$A$1:$IV$1)-1)</definedName>
    <definedName name="Instructions">NA()</definedName>
    <definedName name="Inventory">#REF!</definedName>
    <definedName name="IO">NA()</definedName>
    <definedName name="J" localSheetId="1">SUM(IF(#REF!=STD_1,IF(#REF!=0,IF(CT_Q=0,1,CT_Q)*SZ_21,IF(#REF!=STD_2,IF(CT_Q=0,1,CT_Q)*SZ_21))))</definedName>
    <definedName name="J" localSheetId="3">SUM(IF(#REF!=STD_1,IF(#REF!=0,IF(CT_Q=0,1,CT_Q)*SZ_21,IF(#REF!=STD_2,IF(CT_Q=0,1,CT_Q)*SZ_21))))</definedName>
    <definedName name="J">SUM(IF(#REF!=STD_1,IF(#REF!=0,IF(CT_Q=0,1,CT_Q)*SZ_21,IF(#REF!=STD_2,IF(CT_Q=0,1,CT_Q)*SZ_21))))</definedName>
    <definedName name="JHK">OFFSET([11]SIZE!$A$2,0,0,COUNTA('[11]SIZE:09.7000'!$A$1:$A$9)-1)</definedName>
    <definedName name="JHN">OFFSET([11]COLOUR!$A$2,0,0,COUNTA([11]COLOUR:SIZE!$A$1:$A$1)-1)</definedName>
    <definedName name="JK">NA()</definedName>
    <definedName name="JKJJ">NA()</definedName>
    <definedName name="JKKK" localSheetId="1">SUM(IF(#REF!=STD_1,IF(#REF!=0,IF(CT_Q=0,1,CT_Q)*SZ_7,IF(#REF!=STD_2,IF(CT_Q=0,1,CT_Q)*SZ_7))))</definedName>
    <definedName name="JKKK" localSheetId="3">SUM(IF(#REF!=STD_1,IF(#REF!=0,IF(CT_Q=0,1,CT_Q)*SZ_7,IF(#REF!=STD_2,IF(CT_Q=0,1,CT_Q)*SZ_7))))</definedName>
    <definedName name="JKKK">SUM(IF(#REF!=STD_1,IF(#REF!=0,IF(CT_Q=0,1,CT_Q)*SZ_7,IF(#REF!=STD_2,IF(CT_Q=0,1,CT_Q)*SZ_7))))</definedName>
    <definedName name="JKL">OFFSET([2]DATA!$A$2,0,0,COUNTA([2]DATA:COLOUR!$A$1:$A$9)-1)</definedName>
    <definedName name="JKLLK">OFFSET([12]SIZE!$A$2,0,0,COUNTA('[12]SIZE:155254 A'!$A$1:$A$9)-1)</definedName>
    <definedName name="Key">"free"</definedName>
    <definedName name="KOREA" localSheetId="1">IF(#REF!=OFFSET(_xlnm.Database,ROWS(_xlnm.Database),COLUMNS(_xlnm.Database)-1,1,1),"OK",OFFSET(_xlnm.Database,ROWS(_xlnm.Database),COLUMNS(_xlnm.Database)-1,1,1)-#REF!)</definedName>
    <definedName name="KOREA" localSheetId="3">IF(#REF!=OFFSET(_xlnm.Database,ROWS(_xlnm.Database),COLUMNS(_xlnm.Database)-1,1,1),"OK",OFFSET(_xlnm.Database,ROWS(_xlnm.Database),COLUMNS(_xlnm.Database)-1,1,1)-#REF!)</definedName>
    <definedName name="KOREA">IF(#REF!=OFFSET(_xlnm.Database,ROWS(_xlnm.Database),COLUMNS(_xlnm.Database)-1,1,1),"OK",OFFSET(_xlnm.Database,ROWS(_xlnm.Database),COLUMNS(_xlnm.Database)-1,1,1)-#REF!)</definedName>
    <definedName name="labdipcolour">#N/A</definedName>
    <definedName name="LabDipData">#N/A</definedName>
    <definedName name="LastUse_12">39806</definedName>
    <definedName name="LastUse_13">39805</definedName>
    <definedName name="LastUse_14">39806</definedName>
    <definedName name="LastUse_15">39812</definedName>
    <definedName name="LastUse_16">39812</definedName>
    <definedName name="LastUse_17">39812</definedName>
    <definedName name="LastUse_18">39818</definedName>
    <definedName name="LastUse_19">39818</definedName>
    <definedName name="LastUse_2">39622</definedName>
    <definedName name="LastUse_2_6">39622</definedName>
    <definedName name="LastUse_20">39820</definedName>
    <definedName name="LastUse_21">39820</definedName>
    <definedName name="LastUse_22">39818</definedName>
    <definedName name="LastUse_23">39812</definedName>
    <definedName name="LastUse_24">39812</definedName>
    <definedName name="LastUse_25">39818</definedName>
    <definedName name="LastUse_26">39818</definedName>
    <definedName name="LastUse_27">39876</definedName>
    <definedName name="LastUse_28">39876</definedName>
    <definedName name="LastUse_29">39812</definedName>
    <definedName name="LastUse_30">39812</definedName>
    <definedName name="LastUse_6">39623</definedName>
    <definedName name="LAURA">#REF!</definedName>
    <definedName name="LAURAJ">#REF!</definedName>
    <definedName name="lien" localSheetId="1">SUM(IF(#REF!=STD_1,IF(#REF!=0,IF(CT_Q=0,1,CT_Q)*SZ_10,IF(#REF!=STD_2,IF(CT_Q=0,1,CT_Q)*SZ_10))))</definedName>
    <definedName name="lien" localSheetId="3">SUM(IF(#REF!=STD_1,IF(#REF!=0,IF(CT_Q=0,1,CT_Q)*SZ_10,IF(#REF!=STD_2,IF(CT_Q=0,1,CT_Q)*SZ_10))))</definedName>
    <definedName name="lien">SUM(IF(#REF!=STD_1,IF(#REF!=0,IF(CT_Q=0,1,CT_Q)*SZ_10,IF(#REF!=STD_2,IF(CT_Q=0,1,CT_Q)*SZ_10))))</definedName>
    <definedName name="lien.kg" localSheetId="1">SUM(IF(#REF!=STD_1,IF(#REF!=0,IF(CT_Q=0,1,CT_Q)*SZ_18,IF(#REF!=STD_2,IF(CT_Q=0,1,CT_Q)*SZ_18))))</definedName>
    <definedName name="lien.kg" localSheetId="3">SUM(IF(#REF!=STD_1,IF(#REF!=0,IF(CT_Q=0,1,CT_Q)*SZ_18,IF(#REF!=STD_2,IF(CT_Q=0,1,CT_Q)*SZ_18))))</definedName>
    <definedName name="lien.kg">SUM(IF(#REF!=STD_1,IF(#REF!=0,IF(CT_Q=0,1,CT_Q)*SZ_18,IF(#REF!=STD_2,IF(CT_Q=0,1,CT_Q)*SZ_18))))</definedName>
    <definedName name="lien1" localSheetId="1">SUM(IF(#REF!=STD_1,IF(#REF!=0,IF(CT_Q=0,1,CT_Q)*SZ_14,IF(#REF!=STD_2,IF(CT_Q=0,1,CT_Q)*SZ_14))))</definedName>
    <definedName name="lien1" localSheetId="3">SUM(IF(#REF!=STD_1,IF(#REF!=0,IF(CT_Q=0,1,CT_Q)*SZ_14,IF(#REF!=STD_2,IF(CT_Q=0,1,CT_Q)*SZ_14))))</definedName>
    <definedName name="lien1">SUM(IF(#REF!=STD_1,IF(#REF!=0,IF(CT_Q=0,1,CT_Q)*SZ_14,IF(#REF!=STD_2,IF(CT_Q=0,1,CT_Q)*SZ_14))))</definedName>
    <definedName name="ljfha">[6]Validation!$B$9</definedName>
    <definedName name="LLK">OFFSET([12]DATA!$A$2,0,0,COUNTA(#REF!)-1,COUNTA(#REF!)-1)</definedName>
    <definedName name="M_14_1">"#REF!"</definedName>
    <definedName name="M_14_2">"#REF!"</definedName>
    <definedName name="M_14A_1">"#REF!"</definedName>
    <definedName name="M_14A_2">"#REF!"</definedName>
    <definedName name="M_14B_1">"#REF!"</definedName>
    <definedName name="M_14B_2">"#REF!"</definedName>
    <definedName name="M_14C_1">"#REF!"</definedName>
    <definedName name="M_14C_2">"#REF!"</definedName>
    <definedName name="M_15_1">"#REF!"</definedName>
    <definedName name="M_15_2">"#REF!"</definedName>
    <definedName name="M_4_1">"#REF!"</definedName>
    <definedName name="M_4_2">"#REF!"</definedName>
    <definedName name="MACRO">NA()</definedName>
    <definedName name="MACRO_1">"#N/A"</definedName>
    <definedName name="MACRO_2">NA()</definedName>
    <definedName name="MARK">#REF!</definedName>
    <definedName name="MAT">NA()</definedName>
    <definedName name="MF">NA()</definedName>
    <definedName name="MINPERDAY_1">"#N/A"</definedName>
    <definedName name="MINPERDAY_2">NA()</definedName>
    <definedName name="NAME">OFFSET([2]COLOUR!$A$2,0,0,COUNTA(#REF!)-1)</definedName>
    <definedName name="Ocean">#REF!</definedName>
    <definedName name="oia">#REF!</definedName>
    <definedName name="P">NA()</definedName>
    <definedName name="PA">NA()</definedName>
    <definedName name="PA_1">"#N/A"</definedName>
    <definedName name="PA_2">NA()</definedName>
    <definedName name="PACKING_LIST_DETAILS">"#REF!"</definedName>
    <definedName name="PACKING_LIST_DETAILS_1">"#REF!"</definedName>
    <definedName name="PACKING_LIST_DETAILS_1_1">"#REF!"</definedName>
    <definedName name="PACKING_LIST_SUMMARY">"#REF!"</definedName>
    <definedName name="PACKING_LIST_SUMMARY_1">"#REF!"</definedName>
    <definedName name="PACKING_LIST_SUMMARY_1_1">"#REF!"</definedName>
    <definedName name="PACKING_LIST_SUMMARY_1_1_1">"#REF!"</definedName>
    <definedName name="PACKING_LIST_SUMMARY_1_1_2">"#REF!"</definedName>
    <definedName name="PACKING_LIST_SUMMARY_1_2">"#REF!"</definedName>
    <definedName name="PackSampleSize">#REF!</definedName>
    <definedName name="PackSampleSize_1">#REF!</definedName>
    <definedName name="PAOFFICE">NA()</definedName>
    <definedName name="PAOFFICE_1">"#N/A"</definedName>
    <definedName name="PAOFFICE_2">NA()</definedName>
    <definedName name="PBTREC_1">"#REF!"</definedName>
    <definedName name="PBTREC_2">"#REF!"</definedName>
    <definedName name="PEJM">NA()</definedName>
    <definedName name="PF">NA()</definedName>
    <definedName name="PK">NA()</definedName>
    <definedName name="PL">NA()</definedName>
    <definedName name="PL_1">"#N/A"</definedName>
    <definedName name="PL_2">"#N/A"</definedName>
    <definedName name="PL_3">"#N/A"</definedName>
    <definedName name="PL_4">"#N/A"</definedName>
    <definedName name="PL_5">"#N/A"</definedName>
    <definedName name="PL_6">"#N/A"</definedName>
    <definedName name="PL_7">"#N/A"</definedName>
    <definedName name="PL_8">NA()</definedName>
    <definedName name="PLCODE">NA()</definedName>
    <definedName name="PLCODE_1">"#N/A"</definedName>
    <definedName name="PLCODE_2">NA()</definedName>
    <definedName name="PLNAME">NA()</definedName>
    <definedName name="PLNAME_1">"#N/A"</definedName>
    <definedName name="PLNAME_2">"#N/A"</definedName>
    <definedName name="PLNAME_3">"#N/A"</definedName>
    <definedName name="PLNAME_4">"#N/A"</definedName>
    <definedName name="PLNAME_5">"#N/A"</definedName>
    <definedName name="PLNAME_6">"#N/A"</definedName>
    <definedName name="PLNAME_7">"#N/A"</definedName>
    <definedName name="PLNAME_8">NA()</definedName>
    <definedName name="PM">#REF!</definedName>
    <definedName name="PriceTerm">OFFSET([4]MISC!$G$2,0,0,COUNTA(#REF!)-1)</definedName>
    <definedName name="PRIMARYSIZE">NA()</definedName>
    <definedName name="PRIMARYSIZE_1">"#N/A"</definedName>
    <definedName name="PRIMARYSIZE_2">"#N/A"</definedName>
    <definedName name="PRIMARYSIZE_3">"#N/A"</definedName>
    <definedName name="PRIMARYSIZE_4">"#N/A"</definedName>
    <definedName name="PRIMARYSIZE_5">"#N/A"</definedName>
    <definedName name="PRIMARYSIZE_6">"#N/A"</definedName>
    <definedName name="PRIMARYSIZE_7">"#N/A"</definedName>
    <definedName name="PRIMARYSIZE_8">NA()</definedName>
    <definedName name="_xlnm.Print_Area" localSheetId="4">CCI!$A$1:$P$131</definedName>
    <definedName name="_xlnm.Print_Area" localSheetId="0">'INV-PO04774'!$A$1:$L$51</definedName>
    <definedName name="_xlnm.Print_Area" localSheetId="2">'INV-PO04786'!$A$1:$L$45</definedName>
    <definedName name="_xlnm.Print_Area" localSheetId="1">'PL-PO04774'!$A$1:$N$131</definedName>
    <definedName name="_xlnm.Print_Area" localSheetId="3">'PL-PO04786'!$A$1:$N$75</definedName>
    <definedName name="Print_Area_MI">#REF!</definedName>
    <definedName name="Print_Area_MI_5_2">"$#REF!.$A$1:$U$36"</definedName>
    <definedName name="_xlnm.Print_Titles" localSheetId="4">CCI!$1:$30</definedName>
    <definedName name="_xlnm.Print_Titles" localSheetId="0">'INV-PO04774'!$1:$27</definedName>
    <definedName name="_xlnm.Print_Titles" localSheetId="2">'INV-PO04786'!$1:$27</definedName>
    <definedName name="_xlnm.Print_Titles" localSheetId="1">'PL-PO04774'!$1:$20</definedName>
    <definedName name="_xlnm.Print_Titles" localSheetId="3">'PL-PO04786'!$1:$18</definedName>
    <definedName name="PRODUCTGROUPCHINA">NA()</definedName>
    <definedName name="PRODUCTGROUPCHINA_1">"#N/A"</definedName>
    <definedName name="PRODUCTGROUPCHINA_2">NA()</definedName>
    <definedName name="PRODUCTGROUPEU">NA()</definedName>
    <definedName name="PRODUCTGROUPEU_1">"#N/A"</definedName>
    <definedName name="PRODUCTGROUPEU_2">NA()</definedName>
    <definedName name="ProductLine">#REF!</definedName>
    <definedName name="ProductLine_1">#REF!</definedName>
    <definedName name="ProductLine2">#REF!</definedName>
    <definedName name="ProductLine2_1">#REF!</definedName>
    <definedName name="ProductLineName">NA()</definedName>
    <definedName name="ProductLineName_1">"#N/A"</definedName>
    <definedName name="ProductLineName_2">NA()</definedName>
    <definedName name="ProductSelection">[1]Sheet3!$F$2:$F$11</definedName>
    <definedName name="PSize_1">"#REF!"</definedName>
    <definedName name="PSize_2">"#REF!"</definedName>
    <definedName name="PSize_3">"#REF!"</definedName>
    <definedName name="PSize_4">"#REF!"</definedName>
    <definedName name="PSize_5">"#REF!"</definedName>
    <definedName name="PSize_6">"#REF!"</definedName>
    <definedName name="PSize_7">"#REF!"</definedName>
    <definedName name="PSize_8">"#REF!"</definedName>
    <definedName name="qqq">NA()</definedName>
    <definedName name="QTYDIFF">(#REF!,#REF!,#REF!,#REF!,#REF!,#REF!,#REF!,#REF!,#REF!,#REF!,#REF!,#REF!,#REF!,#REF!,#REF!,#REF!,#REF!,#REF!)</definedName>
    <definedName name="qzqzqz10_1">NA()</definedName>
    <definedName name="qzqzqz10_15">NA()</definedName>
    <definedName name="qzqzqz10_19">NA()</definedName>
    <definedName name="qzqzqz10_2">NA()</definedName>
    <definedName name="qzqzqz10_2_1">NA()</definedName>
    <definedName name="qzqzqz10_2_2">NA()</definedName>
    <definedName name="qzqzqz10_2_3">NA()</definedName>
    <definedName name="qzqzqz10_2_4">NA()</definedName>
    <definedName name="qzqzqz10_2_6">NA()</definedName>
    <definedName name="qzqzqz10_20">NA()</definedName>
    <definedName name="qzqzqz10_21">NA()</definedName>
    <definedName name="qzqzqz10_22">NA()</definedName>
    <definedName name="qzqzqz10_8">NA()</definedName>
    <definedName name="qzqzqz11">NA()</definedName>
    <definedName name="qzqzqz11_1">NA()</definedName>
    <definedName name="qzqzqz11_15">NA()</definedName>
    <definedName name="qzqzqz11_19">NA()</definedName>
    <definedName name="qzqzqz11_2">NA()</definedName>
    <definedName name="qzqzqz11_2_1">NA()</definedName>
    <definedName name="qzqzqz11_2_2">NA()</definedName>
    <definedName name="qzqzqz11_2_3">NA()</definedName>
    <definedName name="qzqzqz11_2_4">NA()</definedName>
    <definedName name="qzqzqz11_2_6">NA()</definedName>
    <definedName name="qzqzqz11_20">NA()</definedName>
    <definedName name="qzqzqz11_21">NA()</definedName>
    <definedName name="qzqzqz11_22">NA()</definedName>
    <definedName name="qzqzqz11_8">NA()</definedName>
    <definedName name="qzqzqz12">NA()</definedName>
    <definedName name="qzqzqz12_1">NA()</definedName>
    <definedName name="qzqzqz12_15">NA()</definedName>
    <definedName name="qzqzqz12_19">NA()</definedName>
    <definedName name="qzqzqz12_2">NA()</definedName>
    <definedName name="qzqzqz12_2_1">NA()</definedName>
    <definedName name="qzqzqz12_2_2">NA()</definedName>
    <definedName name="qzqzqz12_2_3">NA()</definedName>
    <definedName name="qzqzqz12_2_4">NA()</definedName>
    <definedName name="qzqzqz12_2_6">NA()</definedName>
    <definedName name="qzqzqz12_20">NA()</definedName>
    <definedName name="qzqzqz12_21">NA()</definedName>
    <definedName name="qzqzqz12_22">NA()</definedName>
    <definedName name="qzqzqz12_8">NA()</definedName>
    <definedName name="qzqzqz29">NA()</definedName>
    <definedName name="qzqzqz29_1">NA()</definedName>
    <definedName name="qzqzqz29_15">NA()</definedName>
    <definedName name="qzqzqz29_19">NA()</definedName>
    <definedName name="qzqzqz29_2">NA()</definedName>
    <definedName name="qzqzqz29_2_1">NA()</definedName>
    <definedName name="qzqzqz29_2_2">NA()</definedName>
    <definedName name="qzqzqz29_2_3">NA()</definedName>
    <definedName name="qzqzqz29_2_4">NA()</definedName>
    <definedName name="qzqzqz29_2_6">NA()</definedName>
    <definedName name="qzqzqz29_20">NA()</definedName>
    <definedName name="qzqzqz29_21">NA()</definedName>
    <definedName name="qzqzqz29_22">NA()</definedName>
    <definedName name="qzqzqz29_8">NA()</definedName>
    <definedName name="qzqzqz30">NA()</definedName>
    <definedName name="qzqzqz30_1">NA()</definedName>
    <definedName name="qzqzqz30_15">NA()</definedName>
    <definedName name="qzqzqz30_19">NA()</definedName>
    <definedName name="qzqzqz30_2">NA()</definedName>
    <definedName name="qzqzqz30_2_1">NA()</definedName>
    <definedName name="qzqzqz30_2_2">NA()</definedName>
    <definedName name="qzqzqz30_2_3">NA()</definedName>
    <definedName name="qzqzqz30_2_4">NA()</definedName>
    <definedName name="qzqzqz30_2_6">NA()</definedName>
    <definedName name="qzqzqz30_20">NA()</definedName>
    <definedName name="qzqzqz30_21">NA()</definedName>
    <definedName name="qzqzqz30_22">NA()</definedName>
    <definedName name="qzqzqz30_8">NA()</definedName>
    <definedName name="qzqzqz31">NA()</definedName>
    <definedName name="qzqzqz31_1">NA()</definedName>
    <definedName name="qzqzqz31_15">NA()</definedName>
    <definedName name="qzqzqz31_19">NA()</definedName>
    <definedName name="qzqzqz31_2">NA()</definedName>
    <definedName name="qzqzqz31_2_1">NA()</definedName>
    <definedName name="qzqzqz31_2_2">NA()</definedName>
    <definedName name="qzqzqz31_2_3">NA()</definedName>
    <definedName name="qzqzqz31_2_4">NA()</definedName>
    <definedName name="qzqzqz31_2_6">NA()</definedName>
    <definedName name="qzqzqz31_20">NA()</definedName>
    <definedName name="qzqzqz31_21">NA()</definedName>
    <definedName name="qzqzqz31_22">NA()</definedName>
    <definedName name="qzqzqz31_8">NA()</definedName>
    <definedName name="qzqzqz32">NA()</definedName>
    <definedName name="qzqzqz32_1">NA()</definedName>
    <definedName name="qzqzqz32_15">NA()</definedName>
    <definedName name="qzqzqz32_19">NA()</definedName>
    <definedName name="qzqzqz32_2">NA()</definedName>
    <definedName name="qzqzqz32_2_1">NA()</definedName>
    <definedName name="qzqzqz32_2_2">NA()</definedName>
    <definedName name="qzqzqz32_2_3">NA()</definedName>
    <definedName name="qzqzqz32_2_4">NA()</definedName>
    <definedName name="qzqzqz32_2_6">NA()</definedName>
    <definedName name="qzqzqz32_20">NA()</definedName>
    <definedName name="qzqzqz32_21">NA()</definedName>
    <definedName name="qzqzqz32_22">NA()</definedName>
    <definedName name="qzqzqz32_8">NA()</definedName>
    <definedName name="qzqzqz9">NA()</definedName>
    <definedName name="qzqzqz9_1">NA()</definedName>
    <definedName name="qzqzqz9_15">NA()</definedName>
    <definedName name="qzqzqz9_19">NA()</definedName>
    <definedName name="qzqzqz9_2">NA()</definedName>
    <definedName name="qzqzqz9_2_1">NA()</definedName>
    <definedName name="qzqzqz9_2_2">NA()</definedName>
    <definedName name="qzqzqz9_2_3">NA()</definedName>
    <definedName name="qzqzqz9_2_4">NA()</definedName>
    <definedName name="qzqzqz9_2_6">NA()</definedName>
    <definedName name="qzqzqz9_20">NA()</definedName>
    <definedName name="qzqzqz9_21">NA()</definedName>
    <definedName name="qzqzqz9_22">NA()</definedName>
    <definedName name="qzqzqz9_8">NA()</definedName>
    <definedName name="REVISE">#REF!</definedName>
    <definedName name="RMK">IF(OR(#REF!=0,#REF!=""),"","~")</definedName>
    <definedName name="rngABM_LIST">"#REF!"</definedName>
    <definedName name="rngABM_LIST_1">"#REF!"</definedName>
    <definedName name="rngCHANNELSTATUS_LIST">[13]Validation!$A$36:$A$38</definedName>
    <definedName name="rngCHANNELSTATUS_LIST_1">"#REF!"</definedName>
    <definedName name="rngCOLLECTION_LIST">"#REF!"</definedName>
    <definedName name="rngCOLLECTION_LIST_1">"#REF!"</definedName>
    <definedName name="rngCOLORSTATUS_LIST">"#REF!"</definedName>
    <definedName name="rngCOLORSTATUS_LIST_1">"#REF!"</definedName>
    <definedName name="rngDEVBY_LIST">#REF!</definedName>
    <definedName name="rngDEVBY_LIST_1">"#REF!"</definedName>
    <definedName name="rngGBB_LIST">"#REF!"</definedName>
    <definedName name="rngGBB_LIST_1">"#REF!"</definedName>
    <definedName name="rngGENDER_LIST">#REF!</definedName>
    <definedName name="rngGENDER_LIST_1">"#REF!"</definedName>
    <definedName name="rngGLOBALSTATUS_LIST">"#REF!"</definedName>
    <definedName name="rngGLOBALSTATUS_LIST_1">"#REF!"</definedName>
    <definedName name="rngJBA_LIST">#REF!</definedName>
    <definedName name="rngJBA_LIST_1">"#REF!"</definedName>
    <definedName name="rngPA_LIST">"#REF!"</definedName>
    <definedName name="rngPA_LIST_1">"#REF!"</definedName>
    <definedName name="rngPEOPLE_LIST">#REF!</definedName>
    <definedName name="rngPEOPLE_LIST_1">"#REF!"</definedName>
    <definedName name="rngPLC_LIST">"#REF!"</definedName>
    <definedName name="rngPLC_LIST_1">"#REF!"</definedName>
    <definedName name="rngPRIMARYSIZES_LIST">'[3]Validation:Previous Forcasting notes'!$A$464:$A$491</definedName>
    <definedName name="rngPRIMARYSIZES_LIST_1">"#REF!"</definedName>
    <definedName name="rngPRODTYPE_LIST_1">"#REF!"</definedName>
    <definedName name="rngSBU_LIST">"#REF!"</definedName>
    <definedName name="rngSBU_LIST_1">"#REF!"</definedName>
    <definedName name="rngSECONDARYSIZES_LIST">'[3]Validation:Previous Forcasting notes'!$A$495:$A$501</definedName>
    <definedName name="rngSECONDARYSIZES_LIST_1">"#REF!"</definedName>
    <definedName name="Rpt_12">12</definedName>
    <definedName name="Rpt_14">12</definedName>
    <definedName name="Rpt_15">12</definedName>
    <definedName name="Rpt_16">12</definedName>
    <definedName name="Rpt_17">12</definedName>
    <definedName name="Rpt_18">11</definedName>
    <definedName name="Rpt_19">11</definedName>
    <definedName name="Rpt_2">6</definedName>
    <definedName name="Rpt_2_6">6</definedName>
    <definedName name="Rpt_20">17</definedName>
    <definedName name="Rpt_21">17</definedName>
    <definedName name="Rpt_22">18</definedName>
    <definedName name="Rpt_23">16</definedName>
    <definedName name="Rpt_24">16</definedName>
    <definedName name="Rpt_25">14</definedName>
    <definedName name="Rpt_26">12</definedName>
    <definedName name="Rpt_27">16</definedName>
    <definedName name="Rpt_28">16</definedName>
    <definedName name="Rpt_29">11</definedName>
    <definedName name="Rpt_30">10</definedName>
    <definedName name="Rpt_6">7</definedName>
    <definedName name="RT">NA()</definedName>
    <definedName name="S" localSheetId="1">SUM(IF(#REF!=STD_1,IF(#REF!=0,IF(CT_Q=0,1,CT_Q)*SZ_19,IF(#REF!=STD_2,IF(CT_Q=0,1,CT_Q)*SZ_19))))</definedName>
    <definedName name="S" localSheetId="3">SUM(IF(#REF!=STD_1,IF(#REF!=0,IF(CT_Q=0,1,CT_Q)*SZ_19,IF(#REF!=STD_2,IF(CT_Q=0,1,CT_Q)*SZ_19))))</definedName>
    <definedName name="S">SUM(IF(#REF!=STD_1,IF(#REF!=0,IF(CT_Q=0,1,CT_Q)*SZ_19,IF(#REF!=STD_2,IF(CT_Q=0,1,CT_Q)*SZ_19))))</definedName>
    <definedName name="SCCR">#REF!</definedName>
    <definedName name="SCDT">#REF!</definedName>
    <definedName name="SDA">#REF!</definedName>
    <definedName name="SDEXP_1">"#REF!"</definedName>
    <definedName name="SDEXP_2">"#REF!"</definedName>
    <definedName name="SDJHG">NA()</definedName>
    <definedName name="SECONDARYSIZE">NA()</definedName>
    <definedName name="SECONDARYSIZE_1">"#N/A"</definedName>
    <definedName name="SECONDARYSIZE_2">NA()</definedName>
    <definedName name="SERIES">NA()</definedName>
    <definedName name="SERIES_1">"#N/A"</definedName>
    <definedName name="SERIES_2">NA()</definedName>
    <definedName name="Sheet3">#REF!</definedName>
    <definedName name="ShipMode">OFFSET([4]MISC!$A$2,0,0,COUNTA(#REF!)-1)</definedName>
    <definedName name="short">#REF!</definedName>
    <definedName name="SI_3">NA()</definedName>
    <definedName name="SIZE">OFFSET([2]SIZE!$A$2,0,0,COUNTA(#REF!)-1)</definedName>
    <definedName name="SORT_AREA">NA()</definedName>
    <definedName name="SP">NA()</definedName>
    <definedName name="SPECIAL_CHARGES_1">"#REF!"</definedName>
    <definedName name="SPECIAL_CHARGES_2">"#REF!"</definedName>
    <definedName name="SQL_SQL">221</definedName>
    <definedName name="SQL_SQL__0" localSheetId="4" hidden="1">"/*************/_x000D_
/* Top Level */_x000D_
/*************/_x000D_
SELECT key_seq = @key_seq_x000D_
_x000D_
_x000D_
/*************/_x000D_
/* L0_Master */_x000D_
/*************/_x000D_
DECLARE @nbr_cust_po INT,_x000D_
	@max_cust_po CHAR(20)_x000D_
_x000D_
SELECT	@nbr_cust_po = count(distinct(customer_po)),_x000D_
	@max_cust_"</definedName>
    <definedName name="SQL_SQL__0">"/*************/
/* Top Level */
/*************/
SELECT key_seq = @key_seq
/*************/
/* L0_Master */
/*************/
DECLARE @nbr_cust_po INT,
	@max_cust_po CHAR(20)
SELECT	@nbr_cust_po = count(distinct(customer_po)),
	@max_cust_"</definedName>
    <definedName name="SQL_SQL__1" localSheetId="4" hidden="1">"po = max(customer_po) _x000D_
FROM	pack_list_detail (nolock)_x000D_
WHERE	pack_list_detail.link_key_seq = @key_seq_x000D_
_x000D_
SELECT	key_seq = pack_list_detail.key_seq, _x000D_
	pack_list_no = CASE WHEN pack_list_master.rev_no &gt; 0 THEN RTRIM(pack_list_master.pack_list_no) + '"</definedName>
    <definedName name="SQL_SQL__1">"po = max(customer_po) 
FROM	pack_list_detail (nolock)
WHERE	pack_list_detail.link_key_seq = @key_seq
SELECT	key_seq = pack_list_detail.key_seq, 
	pack_list_no = CASE WHEN pack_list_master.rev_no &gt; 0 THEN RTRIM(pack_list_master.pack_list_no) + '"</definedName>
    <definedName name="SQL_SQL__10" localSheetId="4" hidden="1">"OM	pack_list_master (nolock)_x000D_
		INNER JOIN pack_list_detail (nolock)_x000D_
			ON ( pack_list_detail.link_key_seq = pack_list_master.key_seq )   _x000D_
		LEFT OUTER JOIN system_table (nolock)_x000D_
			ON ( pack_list_detail.country_origin = system_table.sysno )  _x000D_
WH"</definedName>
    <definedName name="SQL_SQL__10">"OM	pack_list_master (nolock)
		INNER JOIN pack_list_detail (nolock)
			ON ( pack_list_detail.link_key_seq = pack_list_master.key_seq )   
		LEFT OUTER JOIN system_table (nolock)
			ON ( pack_list_detail.country_origin = system_table.sysno )  
WH"</definedName>
    <definedName name="SQL_SQL__100" localSheetId="4" hidden="1">"q )   _x000D_
		INNER JOIN pack_list_pack (nolock)_x000D_
			ON ( pack_list_ctn.key_seq = pack_list_pack.key_seq )    _x000D_
		LEFT OUTER JOIN system_table (nolock)_x000D_
			ON ( pack_list_ctn_info.w_unit = system_table.sysno )  _x000D_
WHERE	( left(pack_list_ctn_info.link_key_"</definedName>
    <definedName name="SQL_SQL__100">"q )   
		INNER JOIN pack_list_pack (nolock)
			ON ( pack_list_ctn.key_seq = pack_list_pack.key_seq )    
		LEFT OUTER JOIN system_table (nolock)
			ON ( pack_list_ctn_info.w_unit = system_table.sysno )  
WHERE	( left(pack_list_ctn_info.link_key_"</definedName>
    <definedName name="SQL_SQL__101" localSheetId="4" hidden="1">"seq, 8) = @key_seq) AND_x000D_
	(isnull(pack_list_pack.size1,0) + isnull(pack_list_pack.size2,0) + isnull(pack_list_pack.size3,0) +_x000D_
	isnull(pack_list_pack.size4,0) + isnull(pack_list_pack.size5,0) + isnull(pack_list_pack.size6,0) +_x000D_
	isnull(pack_list_pack"</definedName>
    <definedName name="SQL_SQL__101">"seq, 8) = @key_seq) AND
	(isnull(pack_list_pack.size1,0) + isnull(pack_list_pack.size2,0) + isnull(pack_list_pack.size3,0) +
	isnull(pack_list_pack.size4,0) + isnull(pack_list_pack.size5,0) + isnull(pack_list_pack.size6,0) +
	isnull(pack_list_pack"</definedName>
    <definedName name="SQL_SQL__102" localSheetId="4" hidden="1">".size7,0) + isnull(pack_list_pack.size8,0) + isnull(pack_list_pack.size9,0) +_x000D_
	isnull(pack_list_pack.size10,0) + isnull(pack_list_pack.size11,0) + isnull(pack_list_pack.size12,0) +_x000D_
	isnull(pack_list_pack.size13,0) + isnull(pack_list_pack.size14,0) "</definedName>
    <definedName name="SQL_SQL__102">".size7,0) + isnull(pack_list_pack.size8,0) + isnull(pack_list_pack.size9,0) +
	isnull(pack_list_pack.size10,0) + isnull(pack_list_pack.size11,0) + isnull(pack_list_pack.size12,0) +
	isnull(pack_list_pack.size13,0) + isnull(pack_list_pack.size14,0) "</definedName>
    <definedName name="SQL_SQL__103" localSheetId="4" hidden="1">"+ isnull(pack_list_pack.size15,0) +_x000D_
	isnull(pack_list_pack.size16,0) + isnull(pack_list_pack.size17,0) + isnull(pack_list_pack.size18,0) +_x000D_
	isnull(pack_list_pack.size19,0) + isnull(pack_list_pack.size20,0) + isnull(pack_list_pack.size21,0) +_x000D_
	isnu"</definedName>
    <definedName name="SQL_SQL__103">"+ isnull(pack_list_pack.size15,0) +
	isnull(pack_list_pack.size16,0) + isnull(pack_list_pack.size17,0) + isnull(pack_list_pack.size18,0) +
	isnull(pack_list_pack.size19,0) + isnull(pack_list_pack.size20,0) + isnull(pack_list_pack.size21,0) +
	isnu"</definedName>
    <definedName name="SQL_SQL__104" localSheetId="4" hidden="1">"ll(pack_list_pack.size22,0) + isnull(pack_list_pack.size23,0) + isnull(pack_list_pack.size24,0) +_x000D_
	isnull(pack_list_pack.size25,0) + isnull(pack_list_pack.size26,0) + isnull(pack_list_pack.size27,0) +_x000D_
	isnull(pack_list_pack.size28,0) + isnull(pack_"</definedName>
    <definedName name="SQL_SQL__104">"ll(pack_list_pack.size22,0) + isnull(pack_list_pack.size23,0) + isnull(pack_list_pack.size24,0) +
	isnull(pack_list_pack.size25,0) + isnull(pack_list_pack.size26,0) + isnull(pack_list_pack.size27,0) +
	isnull(pack_list_pack.size28,0) + isnull(pack_"</definedName>
    <definedName name="SQL_SQL__105" localSheetId="4" hidden="1">"list_pack.size29,0) +_x000D_
	isnull(pack_list_pack.size30,0)) &gt; 0_x000D_
ORDER BY pack_list_ctn_info.sort_seq  _x000D_
_x000D_
INSERT INTO #carton_info_temp2_x000D_
SELECT 	key_seq, _x000D_
	s_pack, _x000D_
	ctn_from,_x000D_
	ctn_to,_x000D_
	gw,_x000D_
	nw,_x000D_
	nnw,_x000D_
	w_unit,_x000D_
	length,_x000D_
	width, _x000D_
	height, _x000D_
	m"</definedName>
    <definedName name="SQL_SQL__105">"list_pack.size29,0) +
	isnull(pack_list_pack.size30,0)) &gt; 0
ORDER BY pack_list_ctn_info.sort_seq  
INSERT INTO #carton_info_temp2
SELECT 	key_seq, 
	s_pack, 
	ctn_from,
	ctn_to,
	gw,
	nw,
	nnw,
	w_unit,
	length,
	width, 
	height, 
	m"</definedName>
    <definedName name="SQL_SQL__106" localSheetId="4" hidden="1">"eas_unit,_x000D_
	dc,_x000D_
	sort_seq _x000D_
FROM	#carton_info_temp1 (nolock)_x000D_
ORDER BY sort_seq_x000D_
_x000D_
/* start - update ctn_flag1 &amp; ctn_break1 for special pack groupings */_x000D_
UPDATE	#carton_info_temp1_x000D_
SET	ctn_flag1 = CASE WHEN #carton_info_temp1.sort_seq = 1 OR_x000D_
			(i"</definedName>
    <definedName name="SQL_SQL__106">"eas_unit,
	dc,
	sort_seq 
FROM	#carton_info_temp1 (nolock)
ORDER BY sort_seq
/* start - update ctn_flag1 &amp; ctn_break1 for special pack groupings */
UPDATE	#carton_info_temp1
SET	ctn_flag1 = CASE WHEN #carton_info_temp1.sort_seq = 1 OR
			(i"</definedName>
    <definedName name="SQL_SQL__107" localSheetId="4" hidden="1">"snull(#carton_info_temp1.ctn_from, 0) = isnull(#carton_info_temp2.ctn_to, 0) + 1) OR_x000D_
			(isnull(#carton_info_temp1.s_pack, 0) = isnull(#carton_info_temp2.s_pack, 0) _x000D_
				AND isnull(#carton_info_temp1.s_pack, 0) &gt; 0)  THEN 0_x000D_
			ELSE 1_x000D_
		END_x000D_
FROM	"</definedName>
    <definedName name="SQL_SQL__107">"snull(#carton_info_temp1.ctn_from, 0) = isnull(#carton_info_temp2.ctn_to, 0) + 1) OR
			(isnull(#carton_info_temp1.s_pack, 0) = isnull(#carton_info_temp2.s_pack, 0) 
				AND isnull(#carton_info_temp1.s_pack, 0) &gt; 0)  THEN 0
			ELSE 1
		END
FROM	"</definedName>
    <definedName name="SQL_SQL__108" localSheetId="4" hidden="1">"#carton_info_temp1 (nolock)_x000D_
		 INNER JOIN #carton_info_temp2 (nolock)_x000D_
			ON (#carton_info_temp1.sort_seq = #carton_info_temp2.sort_seq + 1) _x000D_
WHERE	left(#carton_info_temp1.key_seq, 12) = left(#carton_info_temp2.key_seq, 12)_x000D_
_x000D_
UPDATE	#carton_info_t"</definedName>
    <definedName name="SQL_SQL__108">"#carton_info_temp1 (nolock)
		 INNER JOIN #carton_info_temp2 (nolock)
			ON (#carton_info_temp1.sort_seq = #carton_info_temp2.sort_seq + 1) 
WHERE	left(#carton_info_temp1.key_seq, 12) = left(#carton_info_temp2.key_seq, 12)
UPDATE	#carton_info_t"</definedName>
    <definedName name="SQL_SQL__109" localSheetId="4" hidden="1">"emp1_x000D_
SET	ctn_break1 = (SELECT sum(ci.ctn_flag1)_x000D_
			FROM #carton_info_temp1 ci_x000D_
			WHERE ci.sort_seq &lt;= #carton_info_temp1.sort_seq AND_x000D_
			left(ci.key_seq, 12) = left(#carton_info_temp1.key_seq, 12))_x000D_
/* end - update ctn_flag1 &amp; ctn_break1 for spec"</definedName>
    <definedName name="SQL_SQL__109">"emp1
SET	ctn_break1 = (SELECT sum(ci.ctn_flag1)
			FROM #carton_info_temp1 ci
			WHERE ci.sort_seq &lt;= #carton_info_temp1.sort_seq AND
			left(ci.key_seq, 12) = left(#carton_info_temp1.key_seq, 12))
/* end - update ctn_flag1 &amp; ctn_break1 for spec"</definedName>
    <definedName name="SQL_SQL__11" localSheetId="4" hidden="1">"ERE	pack_list_master.key_seq = @key_seq       _x000D_
ORDER BY pack_list_detail.key_seq_x000D_
_x000D_
_x000D_
/*******************/_x000D_
/* L0_ShipMarkLogo */_x000D_
/*******************/_x000D_
SELECT	key_seq = invoice_pack_marks.key_seq, _x000D_
	path = CASE WHEN CHARINDEX('\', REVERSE(rtrim("</definedName>
    <definedName name="SQL_SQL__11">"ERE	pack_list_master.key_seq = @key_seq       
ORDER BY pack_list_detail.key_seq
/*******************/
/* L0_ShipMarkLogo */
/*******************/
SELECT	key_seq = invoice_pack_marks.key_seq, 
	path = CASE WHEN CHARINDEX('\', REVERSE(rtrim("</definedName>
    <definedName name="SQL_SQL__110" localSheetId="4" hidden="1">"ial pack groupings */_x000D_
	_x000D_
/* start - update grp_flag &amp; grp_break for weight &amp; measurement groupings */_x000D_
UPDATE	#carton_info_temp1_x000D_
SET	grp_flag = CASE WHEN (#carton_info_temp1.sort_seq = 1) OR_x000D_
			(isnull(#carton_info_temp1.gw, 0) = isnull(#carton_in"</definedName>
    <definedName name="SQL_SQL__110">"ial pack groupings */
/* start - update grp_flag &amp; grp_break for weight &amp; measurement groupings */
UPDATE	#carton_info_temp1
SET	grp_flag = CASE WHEN (#carton_info_temp1.sort_seq = 1) OR
			(isnull(#carton_info_temp1.gw, 0) = isnull(#carton_in"</definedName>
    <definedName name="SQL_SQL__111" localSheetId="4" hidden="1">"fo_temp2.gw, 0) AND_x000D_
			isnull(#carton_info_temp1.nw, 0) = isnull(#carton_info_temp2.nw, 0) AND_x000D_
			isnull(#carton_info_temp1.nnw, 0) = isnull(#carton_info_temp2.nnw, 0) AND_x000D_
			isnull(#carton_info_temp1.w_unit, 0) = isnull(#carton_info_temp2.w_unit,"</definedName>
    <definedName name="SQL_SQL__111">"fo_temp2.gw, 0) AND
			isnull(#carton_info_temp1.nw, 0) = isnull(#carton_info_temp2.nw, 0) AND
			isnull(#carton_info_temp1.nnw, 0) = isnull(#carton_info_temp2.nnw, 0) AND
			isnull(#carton_info_temp1.w_unit, 0) = isnull(#carton_info_temp2.w_unit,"</definedName>
    <definedName name="SQL_SQL__112" localSheetId="4" hidden="1">" 0) AND_x000D_
			isnull(#carton_info_temp1.length, 0) = isnull(#carton_info_temp2.length, 0) AND_x000D_
			isnull(#carton_info_temp1.width, 0) = isnull(#carton_info_temp2.width, 0) AND_x000D_
			isnull(#carton_info_temp1.height, 0) = isnull(#carton_info_temp2.height,"</definedName>
    <definedName name="SQL_SQL__112">" 0) AND
			isnull(#carton_info_temp1.length, 0) = isnull(#carton_info_temp2.length, 0) AND
			isnull(#carton_info_temp1.width, 0) = isnull(#carton_info_temp2.width, 0) AND
			isnull(#carton_info_temp1.height, 0) = isnull(#carton_info_temp2.height,"</definedName>
    <definedName name="SQL_SQL__113" localSheetId="4" hidden="1">" 0) AND_x000D_
			isnull(#carton_info_temp1.meas_unit, '') = isnull(#carton_info_temp2.meas_unit, '') AND   _x000D_
			isnull(#carton_info_temp1.dc, '') = isnull(#carton_info_temp2.dc, '')) _x000D_
			THEN 0_x000D_
			ELSE 1_x000D_
		END_x000D_
FROM	#carton_info_temp1 (nolock)_x000D_
		 INNE"</definedName>
    <definedName name="SQL_SQL__113">" 0) AND
			isnull(#carton_info_temp1.meas_unit, '') = isnull(#carton_info_temp2.meas_unit, '') AND   
			isnull(#carton_info_temp1.dc, '') = isnull(#carton_info_temp2.dc, '')) 
			THEN 0
			ELSE 1
		END
FROM	#carton_info_temp1 (nolock)
		 INNE"</definedName>
    <definedName name="SQL_SQL__114" localSheetId="4" hidden="1">"R JOIN #carton_info_temp2 (nolock)_x000D_
			ON (#carton_info_temp1.sort_seq = #carton_info_temp2.sort_seq + 1) _x000D_
WHERE	left(#carton_info_temp1.key_seq, 12) = left(#carton_info_temp2.key_seq, 12)_x000D_
	_x000D_
UPDATE	#carton_info_temp1_x000D_
SET	grp_break = (SELECT sum(c"</definedName>
    <definedName name="SQL_SQL__114">"R JOIN #carton_info_temp2 (nolock)
			ON (#carton_info_temp1.sort_seq = #carton_info_temp2.sort_seq + 1) 
WHERE	left(#carton_info_temp1.key_seq, 12) = left(#carton_info_temp2.key_seq, 12)
UPDATE	#carton_info_temp1
SET	grp_break = (SELECT sum(c"</definedName>
    <definedName name="SQL_SQL__115" localSheetId="4" hidden="1">"i.grp_flag)_x000D_
			FROM #carton_info_temp1 ci_x000D_
			WHERE ci.sort_seq &lt;= #carton_info_temp1.sort_seq AND_x000D_
			left(ci.key_seq, 12) = left(#carton_info_temp1.key_seq, 12))_x000D_
/* end - update grp_flag &amp; grp_break for weight &amp; measurement groupings */_x000D_
_x000D_
/* sta"</definedName>
    <definedName name="SQL_SQL__115">"i.grp_flag)
			FROM #carton_info_temp1 ci
			WHERE ci.sort_seq &lt;= #carton_info_temp1.sort_seq AND
			left(ci.key_seq, 12) = left(#carton_info_temp1.key_seq, 12))
/* end - update grp_flag &amp; grp_break for weight &amp; measurement groupings */
/* sta"</definedName>
    <definedName name="SQL_SQL__116" localSheetId="4" hidden="1">"rt - update ctn_flag2 for total calculations */_x000D_
UPDATE	#carton_info_temp1_x000D_
SET	ctn_flag2 = CASE WHEN #carton_info_temp1.sort_seq = 1 OR_x000D_
			(isnull(#carton_info_temp1.s_pack, 0) = 0) OR_x000D_
			(isnull(#carton_info_temp1.s_pack, 0) &gt; 0 AND _x000D_
				(isnull"</definedName>
    <definedName name="SQL_SQL__116">"rt - update ctn_flag2 for total calculations */
UPDATE	#carton_info_temp1
SET	ctn_flag2 = CASE WHEN #carton_info_temp1.sort_seq = 1 OR
			(isnull(#carton_info_temp1.s_pack, 0) = 0) OR
			(isnull(#carton_info_temp1.s_pack, 0) &gt; 0 AND 
				(isnull"</definedName>
    <definedName name="SQL_SQL__117" localSheetId="4" hidden="1">"(#carton_info_temp1.ctn_from, 0) &gt;= isnull(#carton_info_temp2.ctn_to, 0) + 1))  THEN 1_x000D_
			ELSE 0_x000D_
		END_x000D_
FROM	#carton_info_temp1 (nolock)_x000D_
		 INNER JOIN #carton_info_temp2 (nolock)_x000D_
			ON (#carton_info_temp1.sort_seq = #carton_info_temp2.sort_seq + "</definedName>
    <definedName name="SQL_SQL__117">"(#carton_info_temp1.ctn_from, 0) &gt;= isnull(#carton_info_temp2.ctn_to, 0) + 1))  THEN 1
			ELSE 0
		END
FROM	#carton_info_temp1 (nolock)
		 INNER JOIN #carton_info_temp2 (nolock)
			ON (#carton_info_temp1.sort_seq = #carton_info_temp2.sort_seq + "</definedName>
    <definedName name="SQL_SQL__118" localSheetId="4" hidden="1">"1) _x000D_
WHERE	left(#carton_info_temp1.key_seq, 12) = left(#carton_info_temp2.key_seq, 12)_x000D_
/* end - update ctn_flag2 for total calculations */_x000D_
_x000D_
/* start - update volume */_x000D_
UPDATE	#carton_info_temp1_x000D_
SET	volume = round((CASE WHEN meas_unit = 'CM' THEN"</definedName>
    <definedName name="SQL_SQL__118">"1) 
WHERE	left(#carton_info_temp1.key_seq, 12) = left(#carton_info_temp2.key_seq, 12)
/* end - update ctn_flag2 for total calculations */
/* start - update volume */
UPDATE	#carton_info_temp1
SET	volume = round((CASE WHEN meas_unit = 'CM' THEN"</definedName>
    <definedName name="SQL_SQL__119" localSheetId="4" hidden="1">" length * height * width * (ctn_to - ctn_from + 1) * ctn_flag2 / 1000000_x000D_
			ELSE length * height * width * (ctn_to - ctn_from + 1) * ctn_flag2 / 1728_x000D_
			END), 6)_x000D_
/* end - update volume */_x000D_
_x000D_
INSERT INTO #carton_info_x000D_
SELECT	left(#carton_info_temp1"</definedName>
    <definedName name="SQL_SQL__119">" length * height * width * (ctn_to - ctn_from + 1) * ctn_flag2 / 1000000
			ELSE length * height * width * (ctn_to - ctn_from + 1) * ctn_flag2 / 1728
			END), 6)
/* end - update volume */
INSERT INTO #carton_info
SELECT	left(#carton_info_temp1"</definedName>
    <definedName name="SQL_SQL__12" localSheetId="4" hidden="1">"invoice_pack_marks.Path))) = 0 THEN invoice_pack_marks.Path_x000D_
		ELSE_x000D_
		substring(rtrim(invoice_pack_marks.Path), len(rtrim(invoice_pack_marks.Path)) - CHARINDEX('\', REVERSE(rtrim(invoice_pack_marks.Path))) + 2, CHARINDEX('\', REVERSE(rtrim(invoice_p"</definedName>
    <definedName name="SQL_SQL__12">"invoice_pack_marks.Path))) = 0 THEN invoice_pack_marks.Path
		ELSE
		substring(rtrim(invoice_pack_marks.Path), len(rtrim(invoice_pack_marks.Path)) - CHARINDEX('\', REVERSE(rtrim(invoice_pack_marks.Path))) + 2, CHARINDEX('\', REVERSE(rtrim(invoice_p"</definedName>
    <definedName name="SQL_SQL__120" localSheetId="4" hidden="1">".key_seq, 12) + '0001',_x000D_
	CASE WHEN min(ctn_from) = max(ctn_to) THEN CAST(min(ctn_from) AS VARCHAR)_x000D_
		ELSE CAST(min(ctn_from) AS VARCHAR) + ' - ' + CAST(max(ctn_to) AS VARCHAR)_x000D_
	END,_x000D_
	gw,_x000D_
	nw,_x000D_
	nnw,_x000D_
	w_unit,_x000D_
	length,_x000D_
	width, _x000D_
	height, _x000D_
	mea"</definedName>
    <definedName name="SQL_SQL__120">".key_seq, 12) + '0001',
	CASE WHEN min(ctn_from) = max(ctn_to) THEN CAST(min(ctn_from) AS VARCHAR)
		ELSE CAST(min(ctn_from) AS VARCHAR) + ' - ' + CAST(max(ctn_to) AS VARCHAR)
	END,
	gw,
	nw,
	nnw,
	w_unit,
	length,
	width, 
	height, 
	mea"</definedName>
    <definedName name="SQL_SQL__121" localSheetId="4" hidden="1">"s_unit,_x000D_
	dc,_x000D_
	volume = sum(volume),_x000D_
	ctn_break1,_x000D_
	grp_break_x000D_
FROM	#carton_info_temp1_x000D_
GROUP BY left(#carton_info_temp1.key_seq, 12) + '0001', gw, nw, nnw, w_unit, length, width, height, meas_unit, dc, ctn_break1, grp_break_x000D_
ORDER BY left(#carton_"</definedName>
    <definedName name="SQL_SQL__121">"s_unit,
	dc,
	volume = sum(volume),
	ctn_break1,
	grp_break
FROM	#carton_info_temp1
GROUP BY left(#carton_info_temp1.key_seq, 12) + '0001', gw, nw, nnw, w_unit, length, width, height, meas_unit, dc, ctn_break1, grp_break
ORDER BY left(#carton_"</definedName>
    <definedName name="SQL_SQL__122" localSheetId="4" hidden="1">"info_temp1.key_seq, 12) + '0001', ctn_break1, grp_break_x000D_
_x000D_
/********************/_x000D_
/* L1_CartonInfoDes */_x000D_
/********************/_x000D_
SELECT	DISTINCT key_seq,_x000D_
	w_unit = '(' + w_unit + ')',_x000D_
	meas_unit = '(' + meas_unit + ')'_x000D_
FROM	#carton_info_x000D_
_x000D_
/****"</definedName>
    <definedName name="SQL_SQL__122">"info_temp1.key_seq, 12) + '0001', ctn_break1, grp_break
/********************/
/* L1_CartonInfoDes */
/********************/
SELECT	DISTINCT key_seq,
	w_unit = '(' + w_unit + ')',
	meas_unit = '(' + meas_unit + ')'
FROM	#carton_info
/****"</definedName>
    <definedName name="SQL_SQL__123" localSheetId="4" hidden="1">"*************/_x000D_
/* L1_CartonInfo */_x000D_
/*****************/_x000D_
SELECT	* _x000D_
FROM	#carton_info_x000D_
ORDER BY key_seq_x000D_
_x000D_
/**********************/_x000D_
/* L1_CartonInfoTotal */_x000D_
/**********************/_x000D_
INSERT INTO #carton_info_total_x000D_
SELECT	key_seq = min(left(key_se"</definedName>
    <definedName name="SQL_SQL__123">"*************/
/* L1_CartonInfo */
/*****************/
SELECT	* 
FROM	#carton_info
ORDER BY key_seq
/**********************/
/* L1_CartonInfoTotal */
/**********************/
INSERT INTO #carton_info_total
SELECT	key_seq = min(left(key_se"</definedName>
    <definedName name="SQL_SQL__124" localSheetId="4" hidden="1">"q, 12)) + '0001',_x000D_
	total_ctn = sum(( ctn_to - ctn_from + 1) * ctn_flag2),_x000D_
	total_gw = isnull(sum(( ctn_to - ctn_from + 1) * gw * ctn_flag2), 0.00),_x000D_
	total_nw = isnull(sum(( ctn_to - ctn_from + 1) * nw * ctn_flag2), 0.00),_x000D_
	total_nnw = isnull(sum "</definedName>
    <definedName name="SQL_SQL__124">"q, 12)) + '0001',
	total_ctn = sum(( ctn_to - ctn_from + 1) * ctn_flag2),
	total_gw = isnull(sum(( ctn_to - ctn_from + 1) * gw * ctn_flag2), 0.00),
	total_nw = isnull(sum(( ctn_to - ctn_from + 1) * nw * ctn_flag2), 0.00),
	total_nnw = isnull(sum "</definedName>
    <definedName name="SQL_SQL__125" localSheetId="4" hidden="1">"(( ctn_to - ctn_from + 1) * nnw * ctn_flag2 ), 0.00),_x000D_
	total_volume = CAST (CAST(round(sum(isnull(volume, 0)), 3) AS DECIMAL(15, 3)) AS VARCHAR) + ' ' + (CASE max(meas_unit) WHEN 'CM' THEN 'CBM'_x000D_
								ELSE 'CUFT'_x000D_
								END)_x000D_
FROM	#carton_info_"</definedName>
    <definedName name="SQL_SQL__125">"(( ctn_to - ctn_from + 1) * nnw * ctn_flag2 ), 0.00),
	total_volume = CAST (CAST(round(sum(isnull(volume, 0)), 3) AS DECIMAL(15, 3)) AS VARCHAR) + ' ' + (CASE max(meas_unit) WHEN 'CM' THEN 'CBM'
								ELSE 'CUFT'
								END)
FROM	#carton_info_"</definedName>
    <definedName name="SQL_SQL__126" localSheetId="4" hidden="1">"temp1_x000D_
GROUP BY left(key_seq, 12)_x000D_
_x000D_
SELECT	*_x000D_
FROM	#carton_info_total_x000D_
ORDER BY key_seq_x000D_
_x000D_
_x000D_
/********************/_x000D_
/* L1_ColourSizeDes */_x000D_
/********************/_x000D_
CREATE TABLE #colour_size_des ( _x000D_
	key_seq VARCHAR(20), _x000D_
	title VARCHAR(25),_x000D_
	tota"</definedName>
    <definedName name="SQL_SQL__126">"temp1
GROUP BY left(key_seq, 12)
SELECT	*
FROM	#carton_info_total
ORDER BY key_seq
/********************/
/* L1_ColourSizeDes */
/********************/
CREATE TABLE #colour_size_des ( 
	key_seq VARCHAR(20), 
	title VARCHAR(25),
	tota"</definedName>
    <definedName name="SQL_SQL__127" localSheetId="4" hidden="1">"l_label VARCHAR(263), _x000D_
	des1 VARCHAR(40),   _x000D_
	des2 VARCHAR(40),   _x000D_
	des3 VARCHAR(40),   _x000D_
	des4 VARCHAR(40),   _x000D_
	des5 VARCHAR(40),   _x000D_
	des6 VARCHAR(40),   _x000D_
	des7 VARCHAR(40),   _x000D_
	des8 VARCHAR(40),   _x000D_
	des9 VARCHAR(40),   _x000D_
	des10 VARCHAR(40),"</definedName>
    <definedName name="SQL_SQL__127">"l_label VARCHAR(263), 
	des1 VARCHAR(40),   
	des2 VARCHAR(40),   
	des3 VARCHAR(40),   
	des4 VARCHAR(40),   
	des5 VARCHAR(40),   
	des6 VARCHAR(40),   
	des7 VARCHAR(40),   
	des8 VARCHAR(40),   
	des9 VARCHAR(40),   
	des10 VARCHAR(40),"</definedName>
    <definedName name="SQL_SQL__128" localSheetId="4" hidden="1">"_x000D_
	des11 VARCHAR(40),   _x000D_
	des12 VARCHAR(40),   _x000D_
	des13 VARCHAR(40),   _x000D_
	des14 VARCHAR(40),   _x000D_
	des15 VARCHAR(40),   _x000D_
	des16 VARCHAR(40)   _x000D_
)_x000D_
_x000D_
INSERT INTO #colour_size_des _x000D_
SELECT	DISTINCT rtrim(pack_list_detail.key_seq) + '0001', _x000D_
	'COLOUR/"</definedName>
    <definedName name="SQL_SQL__128">"
	des11 VARCHAR(40),   
	des12 VARCHAR(40),   
	des13 VARCHAR(40),   
	des14 VARCHAR(40),   
	des15 VARCHAR(40),   
	des16 VARCHAR(40)   
)
INSERT INTO #colour_size_des 
SELECT	DISTINCT rtrim(pack_list_detail.key_seq) + '0001', 
	'COLOUR/"</definedName>
    <definedName name="SQL_SQL__129" localSheetId="4" hidden="1">"SIZE BREAKDOWN',_x000D_
	CASE WHEN pack_list_pack_des.size_des17 IS NOT NULL THEN ''_x000D_
			ELSE 'TOTAL (' + system_table.data2 + ')'_x000D_
			END,_x000D_
	pack_list_pack_des.size_des1,   _x000D_
	pack_list_pack_des.size_des2,   _x000D_
	pack_list_pack_des.size_des3,   _x000D_
	pack_list"</definedName>
    <definedName name="SQL_SQL__129">"SIZE BREAKDOWN',
	CASE WHEN pack_list_pack_des.size_des17 IS NOT NULL THEN ''
			ELSE 'TOTAL (' + system_table.data2 + ')'
			END,
	pack_list_pack_des.size_des1,   
	pack_list_pack_des.size_des2,   
	pack_list_pack_des.size_des3,   
	pack_list"</definedName>
    <definedName name="SQL_SQL__13" localSheetId="4" hidden="1">"ack_marks.Path))) - 1)_x000D_
	END_x000D_
FROM	invoice_pack_marks (nolock)  _x000D_
WHERE	invoice_pack_marks.link_key_seq = @key_seq AND_x000D_
	invoice_pack_marks.type = 'PL' _x000D_
ORDER BY invoice_pack_marks.key_seq_x000D_
_x000D_
_x000D_
/*******************/_x000D_
/* L0_ShipMarkText */_x000D_
/********"</definedName>
    <definedName name="SQL_SQL__13">"ack_marks.Path))) - 1)
	END
FROM	invoice_pack_marks (nolock)  
WHERE	invoice_pack_marks.link_key_seq = @key_seq AND
	invoice_pack_marks.type = 'PL' 
ORDER BY invoice_pack_marks.key_seq
/*******************/
/* L0_ShipMarkText */
/********"</definedName>
    <definedName name="SQL_SQL__130" localSheetId="4" hidden="1">"_pack_des.size_des4,   _x000D_
	pack_list_pack_des.size_des5,   _x000D_
	pack_list_pack_des.size_des6,   _x000D_
	pack_list_pack_des.size_des7,   _x000D_
	pack_list_pack_des.size_des8,   _x000D_
	pack_list_pack_des.size_des9,   _x000D_
	pack_list_pack_des.size_des10,_x000D_
	pack_list_pack_d"</definedName>
    <definedName name="SQL_SQL__130">"_pack_des.size_des4,   
	pack_list_pack_des.size_des5,   
	pack_list_pack_des.size_des6,   
	pack_list_pack_des.size_des7,   
	pack_list_pack_des.size_des8,   
	pack_list_pack_des.size_des9,   
	pack_list_pack_des.size_des10,
	pack_list_pack_d"</definedName>
    <definedName name="SQL_SQL__131" localSheetId="4" hidden="1">"es.size_des11,   _x000D_
	pack_list_pack_des.size_des12,   _x000D_
	pack_list_pack_des.size_des13,   _x000D_
	pack_list_pack_des.size_des14,   _x000D_
	pack_list_pack_des.size_des15,   _x000D_
	pack_list_pack_des.size_des16 _x000D_
FROM	pack_list_detail (nolock) _x000D_
		INNER JOIN pack_lis"</definedName>
    <definedName name="SQL_SQL__131">"es.size_des11,   
	pack_list_pack_des.size_des12,   
	pack_list_pack_des.size_des13,   
	pack_list_pack_des.size_des14,   
	pack_list_pack_des.size_des15,   
	pack_list_pack_des.size_des16 
FROM	pack_list_detail (nolock) 
		INNER JOIN pack_lis"</definedName>
    <definedName name="SQL_SQL__132" localSheetId="4" hidden="1">"t_pack (nolock)_x000D_
			ON ( pack_list_detail.key_seq = pack_list_pack.link_key_seq )_x000D_
		INNER JOIN pack_list_pack_des (nolock) _x000D_
			ON ( pack_list_detail.key_seq = pack_list_pack_des.key_seq )_x000D_
		LEFT OUTER JOIN system_table (nolock) _x000D_
			ON ( pack_list"</definedName>
    <definedName name="SQL_SQL__132">"t_pack (nolock)
			ON ( pack_list_detail.key_seq = pack_list_pack.link_key_seq )
		INNER JOIN pack_list_pack_des (nolock) 
			ON ( pack_list_detail.key_seq = pack_list_pack_des.key_seq )
		LEFT OUTER JOIN system_table (nolock) 
			ON ( pack_list"</definedName>
    <definedName name="SQL_SQL__133" localSheetId="4" hidden="1">"_detail.qty_unit = system_table.sysno ) _x000D_
WHERE	( pack_list_detail.link_key_seq = @key_seq ) AND _x000D_
	( pack_list_pack_des.size_des1 IS NOT NULL ) AND _x000D_
	(isnull(pack_list_pack.size1, 0) + isnull(pack_list_pack.size2, 0) + isnull(pack_list_pack.size3, "</definedName>
    <definedName name="SQL_SQL__133">"_detail.qty_unit = system_table.sysno ) 
WHERE	( pack_list_detail.link_key_seq = @key_seq ) AND 
	( pack_list_pack_des.size_des1 IS NOT NULL ) AND 
	(isnull(pack_list_pack.size1, 0) + isnull(pack_list_pack.size2, 0) + isnull(pack_list_pack.size3, "</definedName>
    <definedName name="SQL_SQL__134" localSheetId="4" hidden="1">"0) +_x000D_
	isnull(pack_list_pack.size4, 0) + isnull(pack_list_pack.size5, 0) + isnull(pack_list_pack.size6, 0) +_x000D_
	isnull(pack_list_pack.size7, 0) + isnull(pack_list_pack.size8, 0) + isnull(pack_list_pack.size9, 0) +_x000D_
	isnull(pack_list_pack.size10, 0) + "</definedName>
    <definedName name="SQL_SQL__134">"0) +
	isnull(pack_list_pack.size4, 0) + isnull(pack_list_pack.size5, 0) + isnull(pack_list_pack.size6, 0) +
	isnull(pack_list_pack.size7, 0) + isnull(pack_list_pack.size8, 0) + isnull(pack_list_pack.size9, 0) +
	isnull(pack_list_pack.size10, 0) + "</definedName>
    <definedName name="SQL_SQL__135" localSheetId="4" hidden="1">"isnull(pack_list_pack.size11, 0) + isnull(pack_list_pack.size12, 0) +_x000D_
	isnull(pack_list_pack.size13, 0) + isnull(pack_list_pack.size14, 0) + isnull(pack_list_pack.size15, 0) +_x000D_
	isnull(pack_list_pack.size16, 0) + isnull(pack_list_pack.size17, 0) + i"</definedName>
    <definedName name="SQL_SQL__135">"isnull(pack_list_pack.size11, 0) + isnull(pack_list_pack.size12, 0) +
	isnull(pack_list_pack.size13, 0) + isnull(pack_list_pack.size14, 0) + isnull(pack_list_pack.size15, 0) +
	isnull(pack_list_pack.size16, 0) + isnull(pack_list_pack.size17, 0) + i"</definedName>
    <definedName name="SQL_SQL__136" localSheetId="4" hidden="1">"snull(pack_list_pack.size18, 0) +_x000D_
	isnull(pack_list_pack.size19, 0) + isnull(pack_list_pack.size20, 0) + isnull(pack_list_pack.size21, 0) +_x000D_
	isnull(pack_list_pack.size22, 0) + isnull(pack_list_pack.size23, 0) + isnull(pack_list_pack.size24, 0) +_x000D_
	"</definedName>
    <definedName name="SQL_SQL__136">"snull(pack_list_pack.size18, 0) +
	isnull(pack_list_pack.size19, 0) + isnull(pack_list_pack.size20, 0) + isnull(pack_list_pack.size21, 0) +
	isnull(pack_list_pack.size22, 0) + isnull(pack_list_pack.size23, 0) + isnull(pack_list_pack.size24, 0) +
	"</definedName>
    <definedName name="SQL_SQL__137" localSheetId="4" hidden="1">"isnull(pack_list_pack.size25, 0) + isnull(pack_list_pack.size26, 0) + isnull(pack_list_pack.size27, 0) +_x000D_
	isnull(pack_list_pack.size28, 0) + isnull(pack_list_pack.size29, 0) +_x000D_
	isnull(pack_list_pack.size30, 0)) &gt; 0 _x000D_
_x000D_
INSERT INTO #colour_size_des "</definedName>
    <definedName name="SQL_SQL__137">"isnull(pack_list_pack.size25, 0) + isnull(pack_list_pack.size26, 0) + isnull(pack_list_pack.size27, 0) +
	isnull(pack_list_pack.size28, 0) + isnull(pack_list_pack.size29, 0) +
	isnull(pack_list_pack.size30, 0)) &gt; 0 
INSERT INTO #colour_size_des "</definedName>
    <definedName name="SQL_SQL__138" localSheetId="4" hidden="1">"_x000D_
SELECT	DISTINCT rtrim(pack_list_detail.key_seq) + '0002', _x000D_
	null,_x000D_
	'TOTAL (' + system_table.data2 + ')',_x000D_
	pack_list_pack_des.size_des17,   _x000D_
	pack_list_pack_des.size_des18,   _x000D_
	pack_list_pack_des.size_des19,   _x000D_
	pack_list_pack_des.size_des20, "</definedName>
    <definedName name="SQL_SQL__138">"
SELECT	DISTINCT rtrim(pack_list_detail.key_seq) + '0002', 
	null,
	'TOTAL (' + system_table.data2 + ')',
	pack_list_pack_des.size_des17,   
	pack_list_pack_des.size_des18,   
	pack_list_pack_des.size_des19,   
	pack_list_pack_des.size_des20, "</definedName>
    <definedName name="SQL_SQL__139" localSheetId="4" hidden="1">"  _x000D_
	pack_list_pack_des.size_des21,   _x000D_
	pack_list_pack_des.size_des22,   _x000D_
	pack_list_pack_des.size_des23,   _x000D_
	pack_list_pack_des.size_des24,   _x000D_
	pack_list_pack_des.size_des25,   _x000D_
	pack_list_pack_des.size_des26,_x000D_
	pack_list_pack_des.size_des27,  "</definedName>
    <definedName name="SQL_SQL__139">"  
	pack_list_pack_des.size_des21,   
	pack_list_pack_des.size_des22,   
	pack_list_pack_des.size_des23,   
	pack_list_pack_des.size_des24,   
	pack_list_pack_des.size_des25,   
	pack_list_pack_des.size_des26,
	pack_list_pack_des.size_des27,  "</definedName>
    <definedName name="SQL_SQL__14" localSheetId="4" hidden="1">"***********/_x000D_
SELECT	key_seq = invoice_pack_marks.key_seq, _x000D_
	text1 = invoice_pack_marks.Text1,_x000D_
	text2 = invoice_pack_marks.Text2   _x000D_
FROM	invoice_pack_marks (nolock)  _x000D_
WHERE	invoice_pack_marks.link_key_seq = @key_seq AND_x000D_
	invoice_pack_marks.type "</definedName>
    <definedName name="SQL_SQL__14">"***********/
SELECT	key_seq = invoice_pack_marks.key_seq, 
	text1 = invoice_pack_marks.Text1,
	text2 = invoice_pack_marks.Text2   
FROM	invoice_pack_marks (nolock)  
WHERE	invoice_pack_marks.link_key_seq = @key_seq AND
	invoice_pack_marks.type "</definedName>
    <definedName name="SQL_SQL__140" localSheetId="4" hidden="1">" _x000D_
	pack_list_pack_des.size_des28,   _x000D_
	pack_list_pack_des.size_des29,   _x000D_
	pack_list_pack_des.size_des30,   _x000D_
	null,   _x000D_
	null _x000D_
FROM	pack_list_detail (nolock) _x000D_
		INNER JOIN pack_list_pack (nolock)_x000D_
			ON ( pack_list_detail.key_seq = pack_list_pack"</definedName>
    <definedName name="SQL_SQL__140">" 
	pack_list_pack_des.size_des28,   
	pack_list_pack_des.size_des29,   
	pack_list_pack_des.size_des30,   
	null,   
	null 
FROM	pack_list_detail (nolock) 
		INNER JOIN pack_list_pack (nolock)
			ON ( pack_list_detail.key_seq = pack_list_pack"</definedName>
    <definedName name="SQL_SQL__141" localSheetId="4" hidden="1">".link_key_seq )_x000D_
		INNER JOIN pack_list_pack_des (nolock) _x000D_
			ON ( pack_list_detail.key_seq = pack_list_pack_des.key_seq )_x000D_
		LEFT OUTER JOIN system_table (nolock) _x000D_
			ON ( pack_list_detail.qty_unit = system_table.sysno ) _x000D_
WHERE	( pack_list_detail"</definedName>
    <definedName name="SQL_SQL__141">".link_key_seq )
		INNER JOIN pack_list_pack_des (nolock) 
			ON ( pack_list_detail.key_seq = pack_list_pack_des.key_seq )
		LEFT OUTER JOIN system_table (nolock) 
			ON ( pack_list_detail.qty_unit = system_table.sysno ) 
WHERE	( pack_list_detail"</definedName>
    <definedName name="SQL_SQL__142" localSheetId="4" hidden="1">".link_key_seq = @key_seq ) AND _x000D_
	( pack_list_pack_des.size_des17 IS NOT NULL ) AND _x000D_
	(isnull(pack_list_pack.size1, 0) + isnull(pack_list_pack.size2, 0) + isnull(pack_list_pack.size3, 0) +_x000D_
	isnull(pack_list_pack.size4, 0) + isnull(pack_list_pack.si"</definedName>
    <definedName name="SQL_SQL__142">".link_key_seq = @key_seq ) AND 
	( pack_list_pack_des.size_des17 IS NOT NULL ) AND 
	(isnull(pack_list_pack.size1, 0) + isnull(pack_list_pack.size2, 0) + isnull(pack_list_pack.size3, 0) +
	isnull(pack_list_pack.size4, 0) + isnull(pack_list_pack.si"</definedName>
    <definedName name="SQL_SQL__143" localSheetId="4" hidden="1">"ze5, 0) + isnull(pack_list_pack.size6, 0) +_x000D_
	isnull(pack_list_pack.size7, 0) + isnull(pack_list_pack.size8, 0) + isnull(pack_list_pack.size9, 0) +_x000D_
	isnull(pack_list_pack.size10, 0) + isnull(pack_list_pack.size11, 0) + isnull(pack_list_pack.size12, "</definedName>
    <definedName name="SQL_SQL__143">"ze5, 0) + isnull(pack_list_pack.size6, 0) +
	isnull(pack_list_pack.size7, 0) + isnull(pack_list_pack.size8, 0) + isnull(pack_list_pack.size9, 0) +
	isnull(pack_list_pack.size10, 0) + isnull(pack_list_pack.size11, 0) + isnull(pack_list_pack.size12, "</definedName>
    <definedName name="SQL_SQL__144" localSheetId="4" hidden="1">"0) +_x000D_
	isnull(pack_list_pack.size13, 0) + isnull(pack_list_pack.size14, 0) + isnull(pack_list_pack.size15, 0) +_x000D_
	isnull(pack_list_pack.size16, 0) + isnull(pack_list_pack.size17, 0) + isnull(pack_list_pack.size18, 0) +_x000D_
	isnull(pack_list_pack.size19,"</definedName>
    <definedName name="SQL_SQL__144">"0) +
	isnull(pack_list_pack.size13, 0) + isnull(pack_list_pack.size14, 0) + isnull(pack_list_pack.size15, 0) +
	isnull(pack_list_pack.size16, 0) + isnull(pack_list_pack.size17, 0) + isnull(pack_list_pack.size18, 0) +
	isnull(pack_list_pack.size19,"</definedName>
    <definedName name="SQL_SQL__145" localSheetId="4" hidden="1">" 0) + isnull(pack_list_pack.size20, 0) + isnull(pack_list_pack.size21, 0) +_x000D_
	isnull(pack_list_pack.size22, 0) + isnull(pack_list_pack.size23, 0) + isnull(pack_list_pack.size24, 0) +_x000D_
	isnull(pack_list_pack.size25, 0) + isnull(pack_list_pack.size26, "</definedName>
    <definedName name="SQL_SQL__145">" 0) + isnull(pack_list_pack.size20, 0) + isnull(pack_list_pack.size21, 0) +
	isnull(pack_list_pack.size22, 0) + isnull(pack_list_pack.size23, 0) + isnull(pack_list_pack.size24, 0) +
	isnull(pack_list_pack.size25, 0) + isnull(pack_list_pack.size26, "</definedName>
    <definedName name="SQL_SQL__146" localSheetId="4" hidden="1">"0) + isnull(pack_list_pack.size27, 0) +_x000D_
	isnull(pack_list_pack.size28, 0) + isnull(pack_list_pack.size29, 0) +_x000D_
	isnull(pack_list_pack.size30, 0)) &gt; 0 _x000D_
_x000D_
SELECT * _x000D_
FROM #colour_size_des (nolock)_x000D_
ORDER BY key_seq _x000D_
_x000D_
_x000D_
/*****************/_x000D_
/* L2_C"</definedName>
    <definedName name="SQL_SQL__146">"0) + isnull(pack_list_pack.size27, 0) +
	isnull(pack_list_pack.size28, 0) + isnull(pack_list_pack.size29, 0) +
	isnull(pack_list_pack.size30, 0)) &gt; 0 
SELECT * 
FROM #colour_size_des (nolock)
ORDER BY key_seq 
/*****************/
/* L2_C"</definedName>
    <definedName name="SQL_SQL__147" localSheetId="4" hidden="1">"olourSize */_x000D_
/*****************/_x000D_
CREATE TABLE #colour_size ( _x000D_
	key_seq VARCHAR(20), _x000D_
	sort_seq int, _x000D_
	colour VARCHAR(20), _x000D_
	cust_colour VARCHAR(20), _x000D_
	colour_lot VARCHAR(20),_x000D_
	width VARCHAR(20), _x000D_
	qty1 VARCHAR(10), _x000D_
	qty2 VARCHAR(10), _x000D_
	qt"</definedName>
    <definedName name="SQL_SQL__147">"olourSize */
/*****************/
CREATE TABLE #colour_size ( 
	key_seq VARCHAR(20), 
	sort_seq int, 
	colour VARCHAR(20), 
	cust_colour VARCHAR(20), 
	colour_lot VARCHAR(20),
	width VARCHAR(20), 
	qty1 VARCHAR(10), 
	qty2 VARCHAR(10), 
	qt"</definedName>
    <definedName name="SQL_SQL__148" localSheetId="4" hidden="1">"y3 VARCHAR(10), _x000D_
	qty4 VARCHAR(10), _x000D_
	qty5 VARCHAR(10), _x000D_
	qty6 VARCHAR(10), _x000D_
	qty7 VARCHAR(10), _x000D_
	qty8 VARCHAR(10), _x000D_
	qty9 VARCHAR(10), _x000D_
	qty10 VARCHAR(10), _x000D_
	qty11 VARCHAR(10), _x000D_
	qty12 VARCHAR(10), _x000D_
	qty13 VARCHAR(10), _x000D_
	qty14 VARCHAR(10)"</definedName>
    <definedName name="SQL_SQL__148">"y3 VARCHAR(10), 
	qty4 VARCHAR(10), 
	qty5 VARCHAR(10), 
	qty6 VARCHAR(10), 
	qty7 VARCHAR(10), 
	qty8 VARCHAR(10), 
	qty9 VARCHAR(10), 
	qty10 VARCHAR(10), 
	qty11 VARCHAR(10), 
	qty12 VARCHAR(10), 
	qty13 VARCHAR(10), 
	qty14 VARCHAR(10)"</definedName>
    <definedName name="SQL_SQL__149" localSheetId="4" hidden="1">", _x000D_
	qty15 VARCHAR(10), _x000D_
	qty16 VARCHAR(10), _x000D_
	total int_x000D_
)_x000D_
_x000D_
INSERT INTO #colour_size_x000D_
SELECT	left(pack_list_pack.key_seq, 12) + '00010001', _x000D_
	min(pack_list_pack.sort_seq), _x000D_
	pack_list_pack.colour,   _x000D_
	pack_list_pack.cust_colour,   _x000D_
	pack_lis"</definedName>
    <definedName name="SQL_SQL__149">", 
	qty15 VARCHAR(10), 
	qty16 VARCHAR(10), 
	total int
)
INSERT INTO #colour_size
SELECT	left(pack_list_pack.key_seq, 12) + '00010001', 
	min(pack_list_pack.sort_seq), 
	pack_list_pack.colour,   
	pack_list_pack.cust_colour,   
	pack_lis"</definedName>
    <definedName name="SQL_SQL__15" localSheetId="4" hidden="1">"= 'PL' _x000D_
ORDER BY invoice_pack_marks.key_seq_x000D_
_x000D_
_x000D_
/*********************/_x000D_
/* L1_PackingInfoDes */_x000D_
/*********************/_x000D_
CREATE TABLE #packing_info_des ( _x000D_
	key_seq VARCHAR(20), _x000D_
	title VARCHAR(25),_x000D_
	total_label VARCHAR(263), _x000D_
	des1 VARCHAR(40"</definedName>
    <definedName name="SQL_SQL__15">"= 'PL' 
ORDER BY invoice_pack_marks.key_seq
/*********************/
/* L1_PackingInfoDes */
/*********************/
CREATE TABLE #packing_info_des ( 
	key_seq VARCHAR(20), 
	title VARCHAR(25),
	total_label VARCHAR(263), 
	des1 VARCHAR(40"</definedName>
    <definedName name="SQL_SQL__150" localSheetId="4" hidden="1">"t_pack.colour_lot,   _x000D_
	pack_list_pack.width,   _x000D_
	CASE WHEN sum(pack_list_pack.size1 * isnull(pack_list_ctn.no_of_pack, 0) * isnull(pack_list_ctn.total_ctn, 0)) = 0 THEN '-' ELSE CAST(sum(pack_list_pack.size1 * isnull(pack_list_ctn.no_of_pack, 0) * "</definedName>
    <definedName name="SQL_SQL__150">"t_pack.colour_lot,   
	pack_list_pack.width,   
	CASE WHEN sum(pack_list_pack.size1 * isnull(pack_list_ctn.no_of_pack, 0) * isnull(pack_list_ctn.total_ctn, 0)) = 0 THEN '-' ELSE CAST(sum(pack_list_pack.size1 * isnull(pack_list_ctn.no_of_pack, 0) * "</definedName>
    <definedName name="SQL_SQL__151" localSheetId="4" hidden="1">"isnull(pack_list_ctn.total_ctn, 0)) AS VARCHAR) END,   _x000D_
	CASE WHEN sum(pack_list_pack.size2 * isnull(pack_list_ctn.no_of_pack, 0) * isnull(pack_list_ctn.total_ctn, 0)) = 0 THEN '-' ELSE CAST(sum(pack_list_pack.size2 * isnull(pack_list_ctn.no_of_pack"</definedName>
    <definedName name="SQL_SQL__151">"isnull(pack_list_ctn.total_ctn, 0)) AS VARCHAR) END,   
	CASE WHEN sum(pack_list_pack.size2 * isnull(pack_list_ctn.no_of_pack, 0) * isnull(pack_list_ctn.total_ctn, 0)) = 0 THEN '-' ELSE CAST(sum(pack_list_pack.size2 * isnull(pack_list_ctn.no_of_pack"</definedName>
    <definedName name="SQL_SQL__152" localSheetId="4" hidden="1">", 0) * isnull(pack_list_ctn.total_ctn, 0)) AS VARCHAR) END,   _x000D_
	CASE WHEN sum(pack_list_pack.size3 * isnull(pack_list_ctn.no_of_pack, 0) * isnull(pack_list_ctn.total_ctn, 0)) = 0 THEN '-' ELSE CAST(sum(pack_list_pack.size3 * isnull(pack_list_ctn.no_"</definedName>
    <definedName name="SQL_SQL__152">", 0) * isnull(pack_list_ctn.total_ctn, 0)) AS VARCHAR) END,   
	CASE WHEN sum(pack_list_pack.size3 * isnull(pack_list_ctn.no_of_pack, 0) * isnull(pack_list_ctn.total_ctn, 0)) = 0 THEN '-' ELSE CAST(sum(pack_list_pack.size3 * isnull(pack_list_ctn.no_"</definedName>
    <definedName name="SQL_SQL__153" localSheetId="4" hidden="1">"of_pack, 0) * isnull(pack_list_ctn.total_ctn, 0)) AS VARCHAR) END,   _x000D_
	CASE WHEN sum(pack_list_pack.size4 * isnull(pack_list_ctn.no_of_pack, 0) * isnull(pack_list_ctn.total_ctn, 0)) = 0 THEN '-' ELSE CAST(sum(pack_list_pack.size4 * isnull(pack_list_"</definedName>
    <definedName name="SQL_SQL__153">"of_pack, 0) * isnull(pack_list_ctn.total_ctn, 0)) AS VARCHAR) END,   
	CASE WHEN sum(pack_list_pack.size4 * isnull(pack_list_ctn.no_of_pack, 0) * isnull(pack_list_ctn.total_ctn, 0)) = 0 THEN '-' ELSE CAST(sum(pack_list_pack.size4 * isnull(pack_list_"</definedName>
    <definedName name="SQL_SQL__154" localSheetId="4" hidden="1">"ctn.no_of_pack, 0) * isnull(pack_list_ctn.total_ctn, 0)) AS VARCHAR) END,   _x000D_
	CASE WHEN sum(pack_list_pack.size5 * isnull(pack_list_ctn.no_of_pack, 0) * isnull(pack_list_ctn.total_ctn, 0)) = 0 THEN '-' ELSE CAST(sum(pack_list_pack.size5 * isnull(pac"</definedName>
    <definedName name="SQL_SQL__154">"ctn.no_of_pack, 0) * isnull(pack_list_ctn.total_ctn, 0)) AS VARCHAR) END,   
	CASE WHEN sum(pack_list_pack.size5 * isnull(pack_list_ctn.no_of_pack, 0) * isnull(pack_list_ctn.total_ctn, 0)) = 0 THEN '-' ELSE CAST(sum(pack_list_pack.size5 * isnull(pac"</definedName>
    <definedName name="SQL_SQL__155" localSheetId="4" hidden="1">"k_list_ctn.no_of_pack, 0) * isnull(pack_list_ctn.total_ctn, 0)) AS VARCHAR) END,   _x000D_
	CASE WHEN sum(pack_list_pack.size6 * isnull(pack_list_ctn.no_of_pack, 0) * isnull(pack_list_ctn.total_ctn, 0)) = 0 THEN '-' ELSE CAST(sum(pack_list_pack.size6 * isn"</definedName>
    <definedName name="SQL_SQL__155">"k_list_ctn.no_of_pack, 0) * isnull(pack_list_ctn.total_ctn, 0)) AS VARCHAR) END,   
	CASE WHEN sum(pack_list_pack.size6 * isnull(pack_list_ctn.no_of_pack, 0) * isnull(pack_list_ctn.total_ctn, 0)) = 0 THEN '-' ELSE CAST(sum(pack_list_pack.size6 * isn"</definedName>
    <definedName name="SQL_SQL__156" localSheetId="4" hidden="1">"ull(pack_list_ctn.no_of_pack, 0) * isnull(pack_list_ctn.total_ctn, 0)) AS VARCHAR) END,   _x000D_
	CASE WHEN sum(pack_list_pack.size7 * isnull(pack_list_ctn.no_of_pack, 0) * isnull(pack_list_ctn.total_ctn, 0)) = 0 THEN '-' ELSE CAST(sum(pack_list_pack.size"</definedName>
    <definedName name="SQL_SQL__156">"ull(pack_list_ctn.no_of_pack, 0) * isnull(pack_list_ctn.total_ctn, 0)) AS VARCHAR) END,   
	CASE WHEN sum(pack_list_pack.size7 * isnull(pack_list_ctn.no_of_pack, 0) * isnull(pack_list_ctn.total_ctn, 0)) = 0 THEN '-' ELSE CAST(sum(pack_list_pack.size"</definedName>
    <definedName name="SQL_SQL__157" localSheetId="4" hidden="1">"7 * isnull(pack_list_ctn.no_of_pack, 0) * isnull(pack_list_ctn.total_ctn, 0)) AS VARCHAR) END,   _x000D_
	CASE WHEN sum(pack_list_pack.size8 * isnull(pack_list_ctn.no_of_pack, 0) * isnull(pack_list_ctn.total_ctn, 0)) = 0 THEN '-' ELSE CAST(sum(pack_list_pa"</definedName>
    <definedName name="SQL_SQL__157">"7 * isnull(pack_list_ctn.no_of_pack, 0) * isnull(pack_list_ctn.total_ctn, 0)) AS VARCHAR) END,   
	CASE WHEN sum(pack_list_pack.size8 * isnull(pack_list_ctn.no_of_pack, 0) * isnull(pack_list_ctn.total_ctn, 0)) = 0 THEN '-' ELSE CAST(sum(pack_list_pa"</definedName>
    <definedName name="SQL_SQL__158" localSheetId="4" hidden="1">"ck.size8 * isnull(pack_list_ctn.no_of_pack, 0) * isnull(pack_list_ctn.total_ctn, 0)) AS VARCHAR) END,   _x000D_
	CASE WHEN sum(pack_list_pack.size9 * isnull(pack_list_ctn.no_of_pack, 0) * isnull(pack_list_ctn.total_ctn, 0)) = 0 THEN '-' ELSE CAST(sum(pack_"</definedName>
    <definedName name="SQL_SQL__158">"ck.size8 * isnull(pack_list_ctn.no_of_pack, 0) * isnull(pack_list_ctn.total_ctn, 0)) AS VARCHAR) END,   
	CASE WHEN sum(pack_list_pack.size9 * isnull(pack_list_ctn.no_of_pack, 0) * isnull(pack_list_ctn.total_ctn, 0)) = 0 THEN '-' ELSE CAST(sum(pack_"</definedName>
    <definedName name="SQL_SQL__159" localSheetId="4" hidden="1">"list_pack.size9 * isnull(pack_list_ctn.no_of_pack, 0) * isnull(pack_list_ctn.total_ctn, 0)) AS VARCHAR) END,   _x000D_
	CASE WHEN sum(pack_list_pack.size10 * isnull(pack_list_ctn.no_of_pack, 0) * isnull(pack_list_ctn.total_ctn, 0)) = 0 THEN '-' ELSE CAST(s"</definedName>
    <definedName name="SQL_SQL__159">"list_pack.size9 * isnull(pack_list_ctn.no_of_pack, 0) * isnull(pack_list_ctn.total_ctn, 0)) AS VARCHAR) END,   
	CASE WHEN sum(pack_list_pack.size10 * isnull(pack_list_ctn.no_of_pack, 0) * isnull(pack_list_ctn.total_ctn, 0)) = 0 THEN '-' ELSE CAST(s"</definedName>
    <definedName name="SQL_SQL__16" localSheetId="4" hidden="1">"),   _x000D_
	des2 VARCHAR(40),   _x000D_
	des3 VARCHAR(40),   _x000D_
	des4 VARCHAR(40),   _x000D_
	des5 VARCHAR(40),   _x000D_
	des6 VARCHAR(40),   _x000D_
	des7 VARCHAR(40),   _x000D_
	des8 VARCHAR(40),   _x000D_
	des9 VARCHAR(40),   _x000D_
	des10 VARCHAR(40),_x000D_
	des11 VARCHAR(40),   _x000D_
	des12 VARCHAR"</definedName>
    <definedName name="SQL_SQL__16">"),   
	des2 VARCHAR(40),   
	des3 VARCHAR(40),   
	des4 VARCHAR(40),   
	des5 VARCHAR(40),   
	des6 VARCHAR(40),   
	des7 VARCHAR(40),   
	des8 VARCHAR(40),   
	des9 VARCHAR(40),   
	des10 VARCHAR(40),
	des11 VARCHAR(40),   
	des12 VARCHAR"</definedName>
    <definedName name="SQL_SQL__160" localSheetId="4" hidden="1">"um(pack_list_pack.size10 * isnull(pack_list_ctn.no_of_pack, 0) * isnull(pack_list_ctn.total_ctn, 0)) AS VARCHAR) END,_x000D_
	CASE WHEN sum(pack_list_pack.size11 * isnull(pack_list_ctn.no_of_pack, 0) * isnull(pack_list_ctn.total_ctn, 0)) = 0 THEN '-' ELSE "</definedName>
    <definedName name="SQL_SQL__160">"um(pack_list_pack.size10 * isnull(pack_list_ctn.no_of_pack, 0) * isnull(pack_list_ctn.total_ctn, 0)) AS VARCHAR) END,
	CASE WHEN sum(pack_list_pack.size11 * isnull(pack_list_ctn.no_of_pack, 0) * isnull(pack_list_ctn.total_ctn, 0)) = 0 THEN '-' ELSE "</definedName>
    <definedName name="SQL_SQL__161" localSheetId="4" hidden="1">"CAST(sum(pack_list_pack.size11 * isnull(pack_list_ctn.no_of_pack, 0) * isnull(pack_list_ctn.total_ctn, 0)) AS VARCHAR) END,   _x000D_
	CASE WHEN sum(pack_list_pack.size12 * isnull(pack_list_ctn.no_of_pack, 0) * isnull(pack_list_ctn.total_ctn, 0)) = 0 THEN "</definedName>
    <definedName name="SQL_SQL__161">"CAST(sum(pack_list_pack.size11 * isnull(pack_list_ctn.no_of_pack, 0) * isnull(pack_list_ctn.total_ctn, 0)) AS VARCHAR) END,   
	CASE WHEN sum(pack_list_pack.size12 * isnull(pack_list_ctn.no_of_pack, 0) * isnull(pack_list_ctn.total_ctn, 0)) = 0 THEN "</definedName>
    <definedName name="SQL_SQL__162" localSheetId="4" hidden="1">"'-' ELSE CAST(sum(pack_list_pack.size12 * isnull(pack_list_ctn.no_of_pack, 0) * isnull(pack_list_ctn.total_ctn, 0)) AS VARCHAR) END,   _x000D_
	CASE WHEN sum(pack_list_pack.size13 * isnull(pack_list_ctn.no_of_pack, 0) * isnull(pack_list_ctn.total_ctn, 0)) "</definedName>
    <definedName name="SQL_SQL__162">"'-' ELSE CAST(sum(pack_list_pack.size12 * isnull(pack_list_ctn.no_of_pack, 0) * isnull(pack_list_ctn.total_ctn, 0)) AS VARCHAR) END,   
	CASE WHEN sum(pack_list_pack.size13 * isnull(pack_list_ctn.no_of_pack, 0) * isnull(pack_list_ctn.total_ctn, 0)) "</definedName>
    <definedName name="SQL_SQL__163" localSheetId="4" hidden="1">"= 0 THEN '-' ELSE CAST(sum(pack_list_pack.size13 * isnull(pack_list_ctn.no_of_pack, 0) * isnull(pack_list_ctn.total_ctn, 0)) AS VARCHAR) END,   _x000D_
	CASE WHEN sum(pack_list_pack.size14 * isnull(pack_list_ctn.no_of_pack, 0) * isnull(pack_list_ctn.total_"</definedName>
    <definedName name="SQL_SQL__163">"= 0 THEN '-' ELSE CAST(sum(pack_list_pack.size13 * isnull(pack_list_ctn.no_of_pack, 0) * isnull(pack_list_ctn.total_ctn, 0)) AS VARCHAR) END,   
	CASE WHEN sum(pack_list_pack.size14 * isnull(pack_list_ctn.no_of_pack, 0) * isnull(pack_list_ctn.total_"</definedName>
    <definedName name="SQL_SQL__164" localSheetId="4" hidden="1">"ctn, 0)) = 0 THEN '-' ELSE CAST(sum(pack_list_pack.size14 * isnull(pack_list_ctn.no_of_pack, 0) * isnull(pack_list_ctn.total_ctn, 0)) AS VARCHAR) END,   _x000D_
	CASE WHEN sum(pack_list_pack.size15 * isnull(pack_list_ctn.no_of_pack, 0) * isnull(pack_list_c"</definedName>
    <definedName name="SQL_SQL__164">"ctn, 0)) = 0 THEN '-' ELSE CAST(sum(pack_list_pack.size14 * isnull(pack_list_ctn.no_of_pack, 0) * isnull(pack_list_ctn.total_ctn, 0)) AS VARCHAR) END,   
	CASE WHEN sum(pack_list_pack.size15 * isnull(pack_list_ctn.no_of_pack, 0) * isnull(pack_list_c"</definedName>
    <definedName name="SQL_SQL__165" localSheetId="4" hidden="1">"tn.total_ctn, 0)) = 0 THEN '-' ELSE CAST(sum(pack_list_pack.size15 * isnull(pack_list_ctn.no_of_pack, 0) * isnull(pack_list_ctn.total_ctn, 0)) AS VARCHAR) END,   _x000D_
	CASE WHEN sum(pack_list_pack.size16 * isnull(pack_list_ctn.no_of_pack, 0) * isnull(pa"</definedName>
    <definedName name="SQL_SQL__165">"tn.total_ctn, 0)) = 0 THEN '-' ELSE CAST(sum(pack_list_pack.size15 * isnull(pack_list_ctn.no_of_pack, 0) * isnull(pack_list_ctn.total_ctn, 0)) AS VARCHAR) END,   
	CASE WHEN sum(pack_list_pack.size16 * isnull(pack_list_ctn.no_of_pack, 0) * isnull(pa"</definedName>
    <definedName name="SQL_SQL__166" localSheetId="4" hidden="1">"ck_list_ctn.total_ctn, 0)) = 0 THEN '-' ELSE CAST(sum(pack_list_pack.size16 * isnull(pack_list_ctn.no_of_pack, 0) * isnull(pack_list_ctn.total_ctn, 0)) AS VARCHAR) END,   _x000D_
	CASE WHEN max(pack_list_pack_des.size_des17) IS NOT NULL THEN NULL_x000D_
		ELSE s"</definedName>
    <definedName name="SQL_SQL__166">"ck_list_ctn.total_ctn, 0)) = 0 THEN '-' ELSE CAST(sum(pack_list_pack.size16 * isnull(pack_list_ctn.no_of_pack, 0) * isnull(pack_list_ctn.total_ctn, 0)) AS VARCHAR) END,   
	CASE WHEN max(pack_list_pack_des.size_des17) IS NOT NULL THEN NULL
		ELSE s"</definedName>
    <definedName name="SQL_SQL__167" localSheetId="4" hidden="1">"um((isnull(pack_list_pack.size1, 0) +_x000D_
				isnull(pack_list_pack.size2, 0) +_x000D_
				isnull(pack_list_pack.size3, 0) +_x000D_
				isnull(pack_list_pack.size4, 0) +_x000D_
				isnull(pack_list_pack.size5, 0) +_x000D_
				isnull(pack_list_pack.size6, 0) +_x000D_
				isnull(pack_"</definedName>
    <definedName name="SQL_SQL__167">"um((isnull(pack_list_pack.size1, 0) +
				isnull(pack_list_pack.size2, 0) +
				isnull(pack_list_pack.size3, 0) +
				isnull(pack_list_pack.size4, 0) +
				isnull(pack_list_pack.size5, 0) +
				isnull(pack_list_pack.size6, 0) +
				isnull(pack_"</definedName>
    <definedName name="SQL_SQL__168" localSheetId="4" hidden="1">"list_pack.size7, 0) +_x000D_
				isnull(pack_list_pack.size8, 0) +_x000D_
				isnull(pack_list_pack.size9, 0) +_x000D_
				isnull(pack_list_pack.size10, 0) +_x000D_
				isnull(pack_list_pack.size11, 0) +_x000D_
				isnull(pack_list_pack.size12, 0) +_x000D_
				isnull(pack_list_pack.siz"</definedName>
    <definedName name="SQL_SQL__168">"list_pack.size7, 0) +
				isnull(pack_list_pack.size8, 0) +
				isnull(pack_list_pack.size9, 0) +
				isnull(pack_list_pack.size10, 0) +
				isnull(pack_list_pack.size11, 0) +
				isnull(pack_list_pack.size12, 0) +
				isnull(pack_list_pack.siz"</definedName>
    <definedName name="SQL_SQL__169" localSheetId="4" hidden="1">"e13, 0) +_x000D_
				isnull(pack_list_pack.size14, 0) +_x000D_
				isnull(pack_list_pack.size15, 0) +_x000D_
				isnull(pack_list_pack.size16, 0) +_x000D_
				isnull(pack_list_pack.size17, 0) +_x000D_
				isnull(pack_list_pack.size18, 0) +_x000D_
				isnull(pack_list_pack.size19, 0) +_x000D_"</definedName>
    <definedName name="SQL_SQL__169">"e13, 0) +
				isnull(pack_list_pack.size14, 0) +
				isnull(pack_list_pack.size15, 0) +
				isnull(pack_list_pack.size16, 0) +
				isnull(pack_list_pack.size17, 0) +
				isnull(pack_list_pack.size18, 0) +
				isnull(pack_list_pack.size19, 0) +
"</definedName>
    <definedName name="SQL_SQL__17" localSheetId="4" hidden="1">"(40),   _x000D_
	des13 VARCHAR(40),   _x000D_
	des14 VARCHAR(40),   _x000D_
	des15 VARCHAR(40),   _x000D_
	des16 VARCHAR(40)   _x000D_
)_x000D_
_x000D_
INSERT INTO #packing_info_des _x000D_
SELECT	DISTINCT rtrim(pack_list_detail.key_seq) + '0001', _x000D_
	title = 'PACKING INFO',_x000D_
	CASE WHEN pack_list_p"</definedName>
    <definedName name="SQL_SQL__17">"(40),   
	des13 VARCHAR(40),   
	des14 VARCHAR(40),   
	des15 VARCHAR(40),   
	des16 VARCHAR(40)   
)
INSERT INTO #packing_info_des 
SELECT	DISTINCT rtrim(pack_list_detail.key_seq) + '0001', 
	title = 'PACKING INFO',
	CASE WHEN pack_list_p"</definedName>
    <definedName name="SQL_SQL__170" localSheetId="4" hidden="1">"
				isnull(pack_list_pack.size20, 0) +_x000D_
				isnull(pack_list_pack.size21, 0) +_x000D_
				isnull(pack_list_pack.size22, 0) +_x000D_
				isnull(pack_list_pack.size23, 0) +_x000D_
				isnull(pack_list_pack.size24, 0) +_x000D_
				isnull(pack_list_pack.size25, 0) +_x000D_
				isnul"</definedName>
    <definedName name="SQL_SQL__170">"
				isnull(pack_list_pack.size20, 0) +
				isnull(pack_list_pack.size21, 0) +
				isnull(pack_list_pack.size22, 0) +
				isnull(pack_list_pack.size23, 0) +
				isnull(pack_list_pack.size24, 0) +
				isnull(pack_list_pack.size25, 0) +
				isnul"</definedName>
    <definedName name="SQL_SQL__171" localSheetId="4" hidden="1">"l(pack_list_pack.size26, 0) +_x000D_
				isnull(pack_list_pack.size27, 0) +_x000D_
				isnull(pack_list_pack.size28, 0) +_x000D_
				isnull(pack_list_pack.size29, 0) +_x000D_
				isnull(pack_list_pack.size30, 0)) * isnull(pack_list_ctn.no_of_pack, 0) * isnull(pack_list_ctn."</definedName>
    <definedName name="SQL_SQL__171">"l(pack_list_pack.size26, 0) +
				isnull(pack_list_pack.size27, 0) +
				isnull(pack_list_pack.size28, 0) +
				isnull(pack_list_pack.size29, 0) +
				isnull(pack_list_pack.size30, 0)) * isnull(pack_list_ctn.no_of_pack, 0) * isnull(pack_list_ctn."</definedName>
    <definedName name="SQL_SQL__172" localSheetId="4" hidden="1">"total_ctn, 0))_x000D_
		END_x000D_
FROM	pack_list_pack (nolock)_x000D_
		INNER JOIN pack_list_pack_des (nolock) _x000D_
			ON ( pack_list_pack_des.key_seq = pack_list_pack.link_key_seq )_x000D_
		INNER JOIN pack_list_ctn (nolock) _x000D_
			ON ( pack_list_ctn.key_seq = pack_list_pack.k"</definedName>
    <definedName name="SQL_SQL__172">"total_ctn, 0))
		END
FROM	pack_list_pack (nolock)
		INNER JOIN pack_list_pack_des (nolock) 
			ON ( pack_list_pack_des.key_seq = pack_list_pack.link_key_seq )
		INNER JOIN pack_list_ctn (nolock) 
			ON ( pack_list_ctn.key_seq = pack_list_pack.k"</definedName>
    <definedName name="SQL_SQL__173" localSheetId="4" hidden="1">"ey_seq )_x000D_
WHERE	( left(pack_list_pack.link_key_seq, 8) = @key_seq ) AND _x000D_
	( pack_list_pack_des.size_des1 IS NOT NULL ) _x000D_
GROUP BY left(pack_list_pack.key_seq, 12) + '00010001', pack_list_pack.colour, pack_list_pack.cust_colour, pack_list_pack.colour"</definedName>
    <definedName name="SQL_SQL__173">"ey_seq )
WHERE	( left(pack_list_pack.link_key_seq, 8) = @key_seq ) AND 
	( pack_list_pack_des.size_des1 IS NOT NULL ) 
GROUP BY left(pack_list_pack.key_seq, 12) + '00010001', pack_list_pack.colour, pack_list_pack.cust_colour, pack_list_pack.colour"</definedName>
    <definedName name="SQL_SQL__174" localSheetId="4" hidden="1">"_lot, pack_list_pack.width_x000D_
HAVING 	sum( isnull(pack_list_pack.size1, 0) + isnull(pack_list_pack.size2, 0) + isnull(pack_list_pack.size3, 0) +_x000D_
	  isnull(pack_list_pack.size4, 0) + isnull(pack_list_pack.size5, 0) + isnull(pack_list_pack.size6, 0) +_x000D_
"</definedName>
    <definedName name="SQL_SQL__174">"_lot, pack_list_pack.width
HAVING 	sum( isnull(pack_list_pack.size1, 0) + isnull(pack_list_pack.size2, 0) + isnull(pack_list_pack.size3, 0) +
	  isnull(pack_list_pack.size4, 0) + isnull(pack_list_pack.size5, 0) + isnull(pack_list_pack.size6, 0) +
"</definedName>
    <definedName name="SQL_SQL__175" localSheetId="4" hidden="1">"	  isnull(pack_list_pack.size7, 0) + isnull(pack_list_pack.size8, 0) + isnull(pack_list_pack.size9, 0) +_x000D_
	  isnull(pack_list_pack.size10, 0) + isnull(pack_list_pack.size11, 0) + isnull(pack_list_pack.size12, 0) +_x000D_
	  isnull(pack_list_pack.size13, 0)"</definedName>
    <definedName name="SQL_SQL__175">"	  isnull(pack_list_pack.size7, 0) + isnull(pack_list_pack.size8, 0) + isnull(pack_list_pack.size9, 0) +
	  isnull(pack_list_pack.size10, 0) + isnull(pack_list_pack.size11, 0) + isnull(pack_list_pack.size12, 0) +
	  isnull(pack_list_pack.size13, 0)"</definedName>
    <definedName name="SQL_SQL__176" localSheetId="4" hidden="1">" + isnull(pack_list_pack.size14, 0) + isnull(pack_list_pack.size15, 0) +_x000D_
	  isnull(pack_list_pack.size16, 0) + isnull(pack_list_pack.size17, 0) + isnull(pack_list_pack.size18, 0) +_x000D_
	  isnull(pack_list_pack.size19, 0) + isnull(pack_list_pack.size20,"</definedName>
    <definedName name="SQL_SQL__176">" + isnull(pack_list_pack.size14, 0) + isnull(pack_list_pack.size15, 0) +
	  isnull(pack_list_pack.size16, 0) + isnull(pack_list_pack.size17, 0) + isnull(pack_list_pack.size18, 0) +
	  isnull(pack_list_pack.size19, 0) + isnull(pack_list_pack.size20,"</definedName>
    <definedName name="SQL_SQL__177" localSheetId="4" hidden="1">" 0) + isnull(pack_list_pack.size21, 0) +_x000D_
	  isnull(pack_list_pack.size22, 0) + isnull(pack_list_pack.size23, 0) + isnull(pack_list_pack.size24, 0) +_x000D_
	  isnull(pack_list_pack.size25, 0) + isnull(pack_list_pack.size26, 0) + isnull(pack_list_pack.size"</definedName>
    <definedName name="SQL_SQL__177">" 0) + isnull(pack_list_pack.size21, 0) +
	  isnull(pack_list_pack.size22, 0) + isnull(pack_list_pack.size23, 0) + isnull(pack_list_pack.size24, 0) +
	  isnull(pack_list_pack.size25, 0) + isnull(pack_list_pack.size26, 0) + isnull(pack_list_pack.size"</definedName>
    <definedName name="SQL_SQL__178" localSheetId="4" hidden="1">"27, 0) +_x000D_
	  isnull(pack_list_pack.size28, 0) + isnull(pack_list_pack.size29, 0) +_x000D_
	  isnull(pack_list_pack.size30, 0)) &gt; 0_x000D_
ORDER BY left(pack_list_pack.key_seq, 12) + '00010001', min(pack_list_pack.sort_seq) _x000D_
_x000D_
INSERT INTO #colour_size_x000D_
SELECT	le"</definedName>
    <definedName name="SQL_SQL__178">"27, 0) +
	  isnull(pack_list_pack.size28, 0) + isnull(pack_list_pack.size29, 0) +
	  isnull(pack_list_pack.size30, 0)) &gt; 0
ORDER BY left(pack_list_pack.key_seq, 12) + '00010001', min(pack_list_pack.sort_seq) 
INSERT INTO #colour_size
SELECT	le"</definedName>
    <definedName name="SQL_SQL__179" localSheetId="4" hidden="1">"ft(pack_list_pack.key_seq, 12) + '00020001', _x000D_
	sort_seq = min(pack_list_pack.sort_seq), _x000D_
	pack_list_pack.colour,   _x000D_
	pack_list_pack.cust_colour,   _x000D_
	pack_list_pack.colour_lot,   _x000D_
	pack_list_pack.width,   _x000D_
	CASE WHEN sum(pack_list_pack.size17 * "</definedName>
    <definedName name="SQL_SQL__179">"ft(pack_list_pack.key_seq, 12) + '00020001', 
	sort_seq = min(pack_list_pack.sort_seq), 
	pack_list_pack.colour,   
	pack_list_pack.cust_colour,   
	pack_list_pack.colour_lot,   
	pack_list_pack.width,   
	CASE WHEN sum(pack_list_pack.size17 * "</definedName>
    <definedName name="SQL_SQL__18" localSheetId="4" hidden="1">"ack_des.size_des17 IS NOT NULL THEN ''_x000D_
			ELSE 'TOTAL (' + system_table.data2 + ')'_x000D_
			END,_x000D_
	pack_list_pack_des.size_des1,   _x000D_
	pack_list_pack_des.size_des2,   _x000D_
	pack_list_pack_des.size_des3,   _x000D_
	pack_list_pack_des.size_des4,   _x000D_
	pack_list_pack"</definedName>
    <definedName name="SQL_SQL__18">"ack_des.size_des17 IS NOT NULL THEN ''
			ELSE 'TOTAL (' + system_table.data2 + ')'
			END,
	pack_list_pack_des.size_des1,   
	pack_list_pack_des.size_des2,   
	pack_list_pack_des.size_des3,   
	pack_list_pack_des.size_des4,   
	pack_list_pack"</definedName>
    <definedName name="SQL_SQL__180" localSheetId="4" hidden="1">"isnull(pack_list_ctn.no_of_pack, 0) * isnull(pack_list_ctn.total_ctn, 0)) = 0 THEN '-' ELSE CAST(sum(pack_list_pack.size17 * isnull(pack_list_ctn.no_of_pack, 0) * isnull(pack_list_ctn.total_ctn, 0)) AS VARCHAR) END,   _x000D_
	CASE WHEN sum(pack_list_pack."</definedName>
    <definedName name="SQL_SQL__180">"isnull(pack_list_ctn.no_of_pack, 0) * isnull(pack_list_ctn.total_ctn, 0)) = 0 THEN '-' ELSE CAST(sum(pack_list_pack.size17 * isnull(pack_list_ctn.no_of_pack, 0) * isnull(pack_list_ctn.total_ctn, 0)) AS VARCHAR) END,   
	CASE WHEN sum(pack_list_pack."</definedName>
    <definedName name="SQL_SQL__181" localSheetId="4" hidden="1">"size18 * isnull(pack_list_ctn.no_of_pack, 0) * isnull(pack_list_ctn.total_ctn, 0)) = 0 THEN '-' ELSE CAST(sum(pack_list_pack.size18 * isnull(pack_list_ctn.no_of_pack, 0) * isnull(pack_list_ctn.total_ctn, 0)) AS VARCHAR) END,   _x000D_
	CASE WHEN sum(pack_l"</definedName>
    <definedName name="SQL_SQL__181">"size18 * isnull(pack_list_ctn.no_of_pack, 0) * isnull(pack_list_ctn.total_ctn, 0)) = 0 THEN '-' ELSE CAST(sum(pack_list_pack.size18 * isnull(pack_list_ctn.no_of_pack, 0) * isnull(pack_list_ctn.total_ctn, 0)) AS VARCHAR) END,   
	CASE WHEN sum(pack_l"</definedName>
    <definedName name="SQL_SQL__182" localSheetId="4" hidden="1">"ist_pack.size19 * isnull(pack_list_ctn.no_of_pack, 0) * isnull(pack_list_ctn.total_ctn, 0)) = 0 THEN '-' ELSE CAST(sum(pack_list_pack.size19 * isnull(pack_list_ctn.no_of_pack, 0) * isnull(pack_list_ctn.total_ctn, 0)) AS VARCHAR) END,   _x000D_
	CASE WHEN s"</definedName>
    <definedName name="SQL_SQL__182">"ist_pack.size19 * isnull(pack_list_ctn.no_of_pack, 0) * isnull(pack_list_ctn.total_ctn, 0)) = 0 THEN '-' ELSE CAST(sum(pack_list_pack.size19 * isnull(pack_list_ctn.no_of_pack, 0) * isnull(pack_list_ctn.total_ctn, 0)) AS VARCHAR) END,   
	CASE WHEN s"</definedName>
    <definedName name="SQL_SQL__183" localSheetId="4" hidden="1">"um(pack_list_pack.size20 * isnull(pack_list_ctn.no_of_pack, 0) * isnull(pack_list_ctn.total_ctn, 0)) = 0 THEN '-' ELSE CAST(sum(pack_list_pack.size20 * isnull(pack_list_ctn.no_of_pack, 0) * isnull(pack_list_ctn.total_ctn, 0)) AS VARCHAR) END,   _x000D_
	CA"</definedName>
    <definedName name="SQL_SQL__183">"um(pack_list_pack.size20 * isnull(pack_list_ctn.no_of_pack, 0) * isnull(pack_list_ctn.total_ctn, 0)) = 0 THEN '-' ELSE CAST(sum(pack_list_pack.size20 * isnull(pack_list_ctn.no_of_pack, 0) * isnull(pack_list_ctn.total_ctn, 0)) AS VARCHAR) END,   
	CA"</definedName>
    <definedName name="SQL_SQL__184">"SE WHEN sum(pack_list_pack.size21 * isnull(pack_list_ctn.no_of_pack, 0) * isnull(pack_list_ctn.total_ctn, 0)) = 0 THEN '-' ELSE CAST(sum(pack_list_pack.size21 * isnull(pack_list_ctn.no_of_pack, 0) * isnull(pack_list_ctn.total_ctn, 0)) AS VARCHAR) END"</definedName>
    <definedName name="SQL_SQL__185" localSheetId="4" hidden="1">",   _x000D_
	CASE WHEN sum(pack_list_pack.size22 * isnull(pack_list_ctn.no_of_pack, 0) * isnull(pack_list_ctn.total_ctn, 0)) = 0 THEN '-' ELSE CAST(sum(pack_list_pack.size22 * isnull(pack_list_ctn.no_of_pack, 0) * isnull(pack_list_ctn.total_ctn, 0)) AS VAR"</definedName>
    <definedName name="SQL_SQL__185">",   
	CASE WHEN sum(pack_list_pack.size22 * isnull(pack_list_ctn.no_of_pack, 0) * isnull(pack_list_ctn.total_ctn, 0)) = 0 THEN '-' ELSE CAST(sum(pack_list_pack.size22 * isnull(pack_list_ctn.no_of_pack, 0) * isnull(pack_list_ctn.total_ctn, 0)) AS VAR"</definedName>
    <definedName name="SQL_SQL__186" localSheetId="4" hidden="1">"CHAR) END,   _x000D_
	CASE WHEN sum(pack_list_pack.size23 * isnull(pack_list_ctn.no_of_pack, 0) * isnull(pack_list_ctn.total_ctn, 0)) = 0 THEN '-' ELSE CAST(sum(pack_list_pack.size23 * isnull(pack_list_ctn.no_of_pack, 0) * isnull(pack_list_ctn.total_ctn, 0"</definedName>
    <definedName name="SQL_SQL__186">"CHAR) END,   
	CASE WHEN sum(pack_list_pack.size23 * isnull(pack_list_ctn.no_of_pack, 0) * isnull(pack_list_ctn.total_ctn, 0)) = 0 THEN '-' ELSE CAST(sum(pack_list_pack.size23 * isnull(pack_list_ctn.no_of_pack, 0) * isnull(pack_list_ctn.total_ctn, 0"</definedName>
    <definedName name="SQL_SQL__187" localSheetId="4" hidden="1">")) AS VARCHAR) END,   _x000D_
	CASE WHEN sum(pack_list_pack.size24 * isnull(pack_list_ctn.no_of_pack, 0) * isnull(pack_list_ctn.total_ctn, 0)) = 0 THEN '-' ELSE CAST(sum(pack_list_pack.size24 * isnull(pack_list_ctn.no_of_pack, 0) * isnull(pack_list_ctn.tot"</definedName>
    <definedName name="SQL_SQL__187">")) AS VARCHAR) END,   
	CASE WHEN sum(pack_list_pack.size24 * isnull(pack_list_ctn.no_of_pack, 0) * isnull(pack_list_ctn.total_ctn, 0)) = 0 THEN '-' ELSE CAST(sum(pack_list_pack.size24 * isnull(pack_list_ctn.no_of_pack, 0) * isnull(pack_list_ctn.tot"</definedName>
    <definedName name="SQL_SQL__188" localSheetId="4" hidden="1">"al_ctn, 0)) AS VARCHAR) END,   _x000D_
	CASE WHEN sum(pack_list_pack.size25 * isnull(pack_list_ctn.no_of_pack, 0) * isnull(pack_list_ctn.total_ctn, 0)) = 0 THEN '-' ELSE CAST(sum(pack_list_pack.size25 * isnull(pack_list_ctn.no_of_pack, 0) * isnull(pack_lis"</definedName>
    <definedName name="SQL_SQL__188">"al_ctn, 0)) AS VARCHAR) END,   
	CASE WHEN sum(pack_list_pack.size25 * isnull(pack_list_ctn.no_of_pack, 0) * isnull(pack_list_ctn.total_ctn, 0)) = 0 THEN '-' ELSE CAST(sum(pack_list_pack.size25 * isnull(pack_list_ctn.no_of_pack, 0) * isnull(pack_lis"</definedName>
    <definedName name="SQL_SQL__189" localSheetId="4" hidden="1">"t_ctn.total_ctn, 0)) AS VARCHAR) END,   _x000D_
	CASE WHEN sum(pack_list_pack.size26 * isnull(pack_list_ctn.no_of_pack, 0) * isnull(pack_list_ctn.total_ctn, 0)) = 0 THEN '-' ELSE CAST(sum(pack_list_pack.size26 * isnull(pack_list_ctn.no_of_pack, 0) * isnull"</definedName>
    <definedName name="SQL_SQL__189">"t_ctn.total_ctn, 0)) AS VARCHAR) END,   
	CASE WHEN sum(pack_list_pack.size26 * isnull(pack_list_ctn.no_of_pack, 0) * isnull(pack_list_ctn.total_ctn, 0)) = 0 THEN '-' ELSE CAST(sum(pack_list_pack.size26 * isnull(pack_list_ctn.no_of_pack, 0) * isnull"</definedName>
    <definedName name="SQL_SQL__19" localSheetId="4" hidden="1">"_des.size_des5,   _x000D_
	pack_list_pack_des.size_des6,   _x000D_
	pack_list_pack_des.size_des7,   _x000D_
	pack_list_pack_des.size_des8,   _x000D_
	pack_list_pack_des.size_des9,   _x000D_
	pack_list_pack_des.size_des10,_x000D_
	pack_list_pack_des.size_des11,   _x000D_
	pack_list_pack_des.s"</definedName>
    <definedName name="SQL_SQL__19">"_des.size_des5,   
	pack_list_pack_des.size_des6,   
	pack_list_pack_des.size_des7,   
	pack_list_pack_des.size_des8,   
	pack_list_pack_des.size_des9,   
	pack_list_pack_des.size_des10,
	pack_list_pack_des.size_des11,   
	pack_list_pack_des.s"</definedName>
    <definedName name="SQL_SQL__190" localSheetId="4" hidden="1">"(pack_list_ctn.total_ctn, 0)) AS VARCHAR) END,_x000D_
	CASE WHEN sum(pack_list_pack.size27 * isnull(pack_list_ctn.no_of_pack, 0) * isnull(pack_list_ctn.total_ctn, 0)) = 0 THEN '-' ELSE CAST(sum(pack_list_pack.size27 * isnull(pack_list_ctn.no_of_pack, 0) * "</definedName>
    <definedName name="SQL_SQL__190">"(pack_list_ctn.total_ctn, 0)) AS VARCHAR) END,
	CASE WHEN sum(pack_list_pack.size27 * isnull(pack_list_ctn.no_of_pack, 0) * isnull(pack_list_ctn.total_ctn, 0)) = 0 THEN '-' ELSE CAST(sum(pack_list_pack.size27 * isnull(pack_list_ctn.no_of_pack, 0) * "</definedName>
    <definedName name="SQL_SQL__191" localSheetId="4" hidden="1">"isnull(pack_list_ctn.total_ctn, 0)) AS VARCHAR) END,   _x000D_
	CASE WHEN sum(pack_list_pack.size28 * isnull(pack_list_ctn.no_of_pack, 0) * isnull(pack_list_ctn.total_ctn, 0)) = 0 THEN '-' ELSE CAST(sum(pack_list_pack.size28 * isnull(pack_list_ctn.no_of_pa"</definedName>
    <definedName name="SQL_SQL__191">"isnull(pack_list_ctn.total_ctn, 0)) AS VARCHAR) END,   
	CASE WHEN sum(pack_list_pack.size28 * isnull(pack_list_ctn.no_of_pack, 0) * isnull(pack_list_ctn.total_ctn, 0)) = 0 THEN '-' ELSE CAST(sum(pack_list_pack.size28 * isnull(pack_list_ctn.no_of_pa"</definedName>
    <definedName name="SQL_SQL__192" localSheetId="4" hidden="1">"ck, 0) * isnull(pack_list_ctn.total_ctn, 0)) AS VARCHAR) END,   _x000D_
	CASE WHEN sum(pack_list_pack.size29 * isnull(pack_list_ctn.no_of_pack, 0) * isnull(pack_list_ctn.total_ctn, 0)) = 0 THEN '-' ELSE CAST(sum(pack_list_pack.size29 * isnull(pack_list_ctn"</definedName>
    <definedName name="SQL_SQL__192">"ck, 0) * isnull(pack_list_ctn.total_ctn, 0)) AS VARCHAR) END,   
	CASE WHEN sum(pack_list_pack.size29 * isnull(pack_list_ctn.no_of_pack, 0) * isnull(pack_list_ctn.total_ctn, 0)) = 0 THEN '-' ELSE CAST(sum(pack_list_pack.size29 * isnull(pack_list_ctn"</definedName>
    <definedName name="SQL_SQL__193" localSheetId="4" hidden="1">".no_of_pack, 0) * isnull(pack_list_ctn.total_ctn, 0)) AS VARCHAR) END,   _x000D_
	CASE WHEN sum(pack_list_pack.size30 * isnull(pack_list_ctn.no_of_pack, 0) * isnull(pack_list_ctn.total_ctn, 0)) = 0 THEN '-' ELSE CAST(sum(pack_list_pack.size30 * isnull(pack"</definedName>
    <definedName name="SQL_SQL__193">".no_of_pack, 0) * isnull(pack_list_ctn.total_ctn, 0)) AS VARCHAR) END,   
	CASE WHEN sum(pack_list_pack.size30 * isnull(pack_list_ctn.no_of_pack, 0) * isnull(pack_list_ctn.total_ctn, 0)) = 0 THEN '-' ELSE CAST(sum(pack_list_pack.size30 * isnull(pack"</definedName>
    <definedName name="SQL_SQL__194" localSheetId="4" hidden="1">"_list_ctn.no_of_pack, 0) * isnull(pack_list_ctn.total_ctn, 0)) AS VARCHAR) END,   _x000D_
	null,   _x000D_
	null,   _x000D_
	sum((isnull(pack_list_pack.size1, 0) +_x000D_
		isnull(pack_list_pack.size2, 0) +_x000D_
		isnull(pack_list_pack.size3, 0) +_x000D_
		isnull(pack_list_pack.size4"</definedName>
    <definedName name="SQL_SQL__194">"_list_ctn.no_of_pack, 0) * isnull(pack_list_ctn.total_ctn, 0)) AS VARCHAR) END,   
	null,   
	null,   
	sum((isnull(pack_list_pack.size1, 0) +
		isnull(pack_list_pack.size2, 0) +
		isnull(pack_list_pack.size3, 0) +
		isnull(pack_list_pack.size4"</definedName>
    <definedName name="SQL_SQL__195" localSheetId="4" hidden="1">", 0) +_x000D_
		isnull(pack_list_pack.size5, 0) +_x000D_
		isnull(pack_list_pack.size6, 0) +_x000D_
		isnull(pack_list_pack.size7, 0) +_x000D_
		isnull(pack_list_pack.size8, 0) +_x000D_
		isnull(pack_list_pack.size9, 0) +_x000D_
		isnull(pack_list_pack.size10, 0) +_x000D_
		isnull(pack_list_"</definedName>
    <definedName name="SQL_SQL__195">", 0) +
		isnull(pack_list_pack.size5, 0) +
		isnull(pack_list_pack.size6, 0) +
		isnull(pack_list_pack.size7, 0) +
		isnull(pack_list_pack.size8, 0) +
		isnull(pack_list_pack.size9, 0) +
		isnull(pack_list_pack.size10, 0) +
		isnull(pack_list_"</definedName>
    <definedName name="SQL_SQL__196" localSheetId="4" hidden="1">"pack.size11, 0) +_x000D_
		isnull(pack_list_pack.size12, 0) +_x000D_
		isnull(pack_list_pack.size13, 0) +_x000D_
		isnull(pack_list_pack.size14, 0) +_x000D_
		isnull(pack_list_pack.size15, 0) +_x000D_
		isnull(pack_list_pack.size16, 0) +_x000D_
		isnull(pack_list_pack.size17, 0) +_x000D_
		i"</definedName>
    <definedName name="SQL_SQL__196">"pack.size11, 0) +
		isnull(pack_list_pack.size12, 0) +
		isnull(pack_list_pack.size13, 0) +
		isnull(pack_list_pack.size14, 0) +
		isnull(pack_list_pack.size15, 0) +
		isnull(pack_list_pack.size16, 0) +
		isnull(pack_list_pack.size17, 0) +
		i"</definedName>
    <definedName name="SQL_SQL__197" localSheetId="4" hidden="1">"snull(pack_list_pack.size18, 0) +_x000D_
		isnull(pack_list_pack.size19, 0) +_x000D_
		isnull(pack_list_pack.size20, 0) +_x000D_
		isnull(pack_list_pack.size21, 0) +_x000D_
		isnull(pack_list_pack.size22, 0) +_x000D_
		isnull(pack_list_pack.size23, 0) +_x000D_
		isnull(pack_list_pack.s"</definedName>
    <definedName name="SQL_SQL__197">"snull(pack_list_pack.size18, 0) +
		isnull(pack_list_pack.size19, 0) +
		isnull(pack_list_pack.size20, 0) +
		isnull(pack_list_pack.size21, 0) +
		isnull(pack_list_pack.size22, 0) +
		isnull(pack_list_pack.size23, 0) +
		isnull(pack_list_pack.s"</definedName>
    <definedName name="SQL_SQL__198" localSheetId="4" hidden="1">"ize24, 0) +_x000D_
		isnull(pack_list_pack.size25, 0) +_x000D_
		isnull(pack_list_pack.size26, 0) +_x000D_
		isnull(pack_list_pack.size27, 0) +_x000D_
		isnull(pack_list_pack.size28, 0) +_x000D_
		isnull(pack_list_pack.size29, 0) +_x000D_
		isnull(pack_list_pack.size30, 0)) * isnull(pa"</definedName>
    <definedName name="SQL_SQL__198">"ize24, 0) +
		isnull(pack_list_pack.size25, 0) +
		isnull(pack_list_pack.size26, 0) +
		isnull(pack_list_pack.size27, 0) +
		isnull(pack_list_pack.size28, 0) +
		isnull(pack_list_pack.size29, 0) +
		isnull(pack_list_pack.size30, 0)) * isnull(pa"</definedName>
    <definedName name="SQL_SQL__199" localSheetId="4" hidden="1">"ck_list_ctn.no_of_pack, 0) * isnull(pack_list_ctn.total_ctn, 0))_x000D_
FROM	pack_list_pack (nolock)_x000D_
		INNER JOIN pack_list_pack_des (nolock) _x000D_
			ON ( pack_list_pack_des.key_seq = pack_list_pack.link_key_seq )_x000D_
		INNER JOIN pack_list_ctn (nolock) _x000D_
			ON"</definedName>
    <definedName name="SQL_SQL__199">"ck_list_ctn.no_of_pack, 0) * isnull(pack_list_ctn.total_ctn, 0))
FROM	pack_list_pack (nolock)
		INNER JOIN pack_list_pack_des (nolock) 
			ON ( pack_list_pack_des.key_seq = pack_list_pack.link_key_seq )
		INNER JOIN pack_list_ctn (nolock) 
			ON"</definedName>
    <definedName name="SQL_SQL__2" localSheetId="4" hidden="1">" (REVISED ' + CAST(pack_list_master.rev_no AS VARCHAR) + ')'_x000D_
			ELSE pack_list_master.pack_list_no_x000D_
			END,  _x000D_
	ls_date = pack_list_master.ls_date,   _x000D_
	sail_date = pack_list_master.sail_date,   _x000D_
	vessel = pack_list_master.vessel,   _x000D_
	source = pac"</definedName>
    <definedName name="SQL_SQL__2">" (REVISED ' + CAST(pack_list_master.rev_no AS VARCHAR) + ')'
			ELSE pack_list_master.pack_list_no
			END,  
	ls_date = pack_list_master.ls_date,   
	sail_date = pack_list_master.sail_date,   
	vessel = pack_list_master.vessel,   
	source = pac"</definedName>
    <definedName name="SQL_SQL__20" localSheetId="4" hidden="1">"ize_des12,   _x000D_
	pack_list_pack_des.size_des13,   _x000D_
	pack_list_pack_des.size_des14,   _x000D_
	pack_list_pack_des.size_des15,   _x000D_
	pack_list_pack_des.size_des16 _x000D_
FROM	pack_list_detail (nolock) _x000D_
		INNER JOIN pack_list_pack (nolock)_x000D_
			ON ( pack_list_detai"</definedName>
    <definedName name="SQL_SQL__20">"ize_des12,   
	pack_list_pack_des.size_des13,   
	pack_list_pack_des.size_des14,   
	pack_list_pack_des.size_des15,   
	pack_list_pack_des.size_des16 
FROM	pack_list_detail (nolock) 
		INNER JOIN pack_list_pack (nolock)
			ON ( pack_list_detai"</definedName>
    <definedName name="SQL_SQL__200" localSheetId="4" hidden="1">" ( pack_list_ctn.key_seq = pack_list_pack.key_seq )_x000D_
WHERE	( left(pack_list_pack.link_key_seq, 8) = @key_seq ) AND _x000D_
	( pack_list_pack_des.size_des17 IS NOT NULL ) _x000D_
GROUP BY left(pack_list_pack.key_seq, 12) + '00020001', pack_list_pack.colour, pack_"</definedName>
    <definedName name="SQL_SQL__200">" ( pack_list_ctn.key_seq = pack_list_pack.key_seq )
WHERE	( left(pack_list_pack.link_key_seq, 8) = @key_seq ) AND 
	( pack_list_pack_des.size_des17 IS NOT NULL ) 
GROUP BY left(pack_list_pack.key_seq, 12) + '00020001', pack_list_pack.colour, pack_"</definedName>
    <definedName name="SQL_SQL__201" localSheetId="4" hidden="1">"list_pack.cust_colour, pack_list_pack.colour_lot, pack_list_pack.width_x000D_
HAVING 	sum( isnull(pack_list_pack.size1, 0) + isnull(pack_list_pack.size2, 0) + isnull(pack_list_pack.size3, 0) +_x000D_
	  isnull(pack_list_pack.size4, 0) + isnull(pack_list_pack.siz"</definedName>
    <definedName name="SQL_SQL__201">"list_pack.cust_colour, pack_list_pack.colour_lot, pack_list_pack.width
HAVING 	sum( isnull(pack_list_pack.size1, 0) + isnull(pack_list_pack.size2, 0) + isnull(pack_list_pack.size3, 0) +
	  isnull(pack_list_pack.size4, 0) + isnull(pack_list_pack.siz"</definedName>
    <definedName name="SQL_SQL__202" localSheetId="4" hidden="1">"e5, 0) + isnull(pack_list_pack.size6, 0) +_x000D_
	  isnull(pack_list_pack.size7, 0) + isnull(pack_list_pack.size8, 0) + isnull(pack_list_pack.size9, 0) +_x000D_
	  isnull(pack_list_pack.size10, 0) + isnull(pack_list_pack.size11, 0) + isnull(pack_list_pack.size1"</definedName>
    <definedName name="SQL_SQL__202">"e5, 0) + isnull(pack_list_pack.size6, 0) +
	  isnull(pack_list_pack.size7, 0) + isnull(pack_list_pack.size8, 0) + isnull(pack_list_pack.size9, 0) +
	  isnull(pack_list_pack.size10, 0) + isnull(pack_list_pack.size11, 0) + isnull(pack_list_pack.size1"</definedName>
    <definedName name="SQL_SQL__203" localSheetId="4" hidden="1">"2, 0) +_x000D_
	  isnull(pack_list_pack.size13, 0) + isnull(pack_list_pack.size14, 0) + isnull(pack_list_pack.size15, 0) +_x000D_
	  isnull(pack_list_pack.size16, 0) + isnull(pack_list_pack.size17, 0) + isnull(pack_list_pack.size18, 0) +_x000D_
	  isnull(pack_list_pac"</definedName>
    <definedName name="SQL_SQL__203">"2, 0) +
	  isnull(pack_list_pack.size13, 0) + isnull(pack_list_pack.size14, 0) + isnull(pack_list_pack.size15, 0) +
	  isnull(pack_list_pack.size16, 0) + isnull(pack_list_pack.size17, 0) + isnull(pack_list_pack.size18, 0) +
	  isnull(pack_list_pac"</definedName>
    <definedName name="SQL_SQL__204" localSheetId="4" hidden="1">"k.size19, 0) + isnull(pack_list_pack.size20, 0) + isnull(pack_list_pack.size21, 0) +_x000D_
	  isnull(pack_list_pack.size22, 0) + isnull(pack_list_pack.size23, 0) + isnull(pack_list_pack.size24, 0) +_x000D_
	  isnull(pack_list_pack.size25, 0) + isnull(pack_list_"</definedName>
    <definedName name="SQL_SQL__204">"k.size19, 0) + isnull(pack_list_pack.size20, 0) + isnull(pack_list_pack.size21, 0) +
	  isnull(pack_list_pack.size22, 0) + isnull(pack_list_pack.size23, 0) + isnull(pack_list_pack.size24, 0) +
	  isnull(pack_list_pack.size25, 0) + isnull(pack_list_"</definedName>
    <definedName name="SQL_SQL__205" localSheetId="4" hidden="1">"pack.size26, 0) + isnull(pack_list_pack.size27, 0) +_x000D_
	  isnull(pack_list_pack.size28, 0) + isnull(pack_list_pack.size29, 0) +_x000D_
	  isnull(pack_list_pack.size30, 0)) &gt; 0_x000D_
ORDER BY left(pack_list_pack.key_seq, 12) + '00020001', min(pack_list_pack.sort_"</definedName>
    <definedName name="SQL_SQL__205">"pack.size26, 0) + isnull(pack_list_pack.size27, 0) +
	  isnull(pack_list_pack.size28, 0) + isnull(pack_list_pack.size29, 0) +
	  isnull(pack_list_pack.size30, 0)) &gt; 0
ORDER BY left(pack_list_pack.key_seq, 12) + '00020001', min(pack_list_pack.sort_"</definedName>
    <definedName name="SQL_SQL__206" localSheetId="4" hidden="1">"seq) _x000D_
_x000D_
SELECT * _x000D_
FROM #colour_size (nolock)_x000D_
ORDER BY key_seq, sort_seq _x000D_
_x000D_
_x000D_
/**********************/_x000D_
/* L1_ColourSizeTotal */_x000D_
/**********************/_x000D_
SELECT	key_seq = left(key_seq, 16),_x000D_
	total_qty = sum(total)  _x000D_
FROM	#colour_size_x000D_
GROUP BY"</definedName>
    <definedName name="SQL_SQL__206">"seq) 
SELECT * 
FROM #colour_size (nolock)
ORDER BY key_seq, sort_seq 
/**********************/
/* L1_ColourSizeTotal */
/**********************/
SELECT	key_seq = left(key_seq, 16),
	total_qty = sum(total)  
FROM	#colour_size
GROUP BY"</definedName>
    <definedName name="SQL_SQL__207" localSheetId="4" hidden="1">" left(key_seq, 16)_x000D_
_x000D_
_x000D_
/**************/_x000D_
/* L1_Summary */_x000D_
/**************/_x000D_
SELECT	key_seq = rtrim(ctn_info.key_seq) + '0001',_x000D_
	total_gw = sum((ctn_to - ctn_from + 1) * gw), _x000D_
	total_nw = sum((ctn_to - ctn_from + 1) * nw), _x000D_
	total_nnw = CASE WHEN"</definedName>
    <definedName name="SQL_SQL__207">" left(key_seq, 16)
/**************/
/* L1_Summary */
/**************/
SELECT	key_seq = rtrim(ctn_info.key_seq) + '0001',
	total_gw = sum((ctn_to - ctn_from + 1) * gw), 
	total_nw = sum((ctn_to - ctn_from + 1) * nw), 
	total_nnw = CASE WHEN"</definedName>
    <definedName name="SQL_SQL__208" localSheetId="4" hidden="1">" sum((ctn_to - ctn_from + 1) * nnw)IS NULL OR sum((ctn_to - ctn_from + 1) * nnw) = 0.00 THEN null_x000D_
			ELSE sum((ctn_to - ctn_from + 1) * nnw)_x000D_
		END, _x000D_
	w_unit = sys_w_unit.data2, _x000D_
	meas_unit = (CASE meas_unit WHEN 1 THEN 'CM' _x000D_
				WHEN 2 THEN 'INC"</definedName>
    <definedName name="SQL_SQL__208">" sum((ctn_to - ctn_from + 1) * nnw)IS NULL OR sum((ctn_to - ctn_from + 1) * nnw) = 0.00 THEN null
			ELSE sum((ctn_to - ctn_from + 1) * nnw)
		END, 
	w_unit = sys_w_unit.data2, 
	meas_unit = (CASE meas_unit WHEN 1 THEN 'CM' 
				WHEN 2 THEN 'INC"</definedName>
    <definedName name="SQL_SQL__209" localSheetId="4" hidden="1">"H' _x000D_
				ELSE ' ' _x000D_
		END), _x000D_
	total_measurement = CAST (CAST ((CASE meas_unit WHEN 1 THEN sum((ctn_to - ctn_from + 1) * round(length * width * height, 3)) / 1000000 _x000D_
				ELSE sum((ctn_to - ctn_from + 1) * round(length * width * height, 3)) / 1728_x000D_
"</definedName>
    <definedName name="SQL_SQL__209">"H' 
				ELSE ' ' 
		END), 
	total_measurement = CAST (CAST ((CASE meas_unit WHEN 1 THEN sum((ctn_to - ctn_from + 1) * round(length * width * height, 3)) / 1000000 
				ELSE sum((ctn_to - ctn_from + 1) * round(length * width * height, 3)) / 1728
"</definedName>
    <definedName name="SQL_SQL__21" localSheetId="4" hidden="1">"l.key_seq = pack_list_pack.link_key_seq )_x000D_
		INNER JOIN pack_list_pack_des (nolock) _x000D_
			ON ( pack_list_detail.key_seq = pack_list_pack_des.key_seq )_x000D_
		LEFT OUTER JOIN system_table (nolock) _x000D_
			ON ( pack_list_detail.qty_unit = system_table.sysno ) "</definedName>
    <definedName name="SQL_SQL__21">"l.key_seq = pack_list_pack.link_key_seq )
		INNER JOIN pack_list_pack_des (nolock) 
			ON ( pack_list_detail.key_seq = pack_list_pack_des.key_seq )
		LEFT OUTER JOIN system_table (nolock) 
			ON ( pack_list_detail.qty_unit = system_table.sysno ) "</definedName>
    <definedName name="SQL_SQL__210" localSheetId="4" hidden="1">"			END) AS DECIMAL(15, 3)) AS VARCHAR) + ' ' _x000D_
				+ CASE meas_unit WHEN 1 THEN 'CBM'_x000D_
						ELSE 'CUFT'_x000D_
				END,_x000D_
	total_ctn = sum(ctn_to - ctn_from + 1), _x000D_
	total_qty = pack_list_detail.qty, _x000D_
	qty_unit = sys_qty_unit.data2 _x000D_
FROM	(SELECT	key_seq "</definedName>
    <definedName name="SQL_SQL__210">"			END) AS DECIMAL(15, 3)) AS VARCHAR) + ' ' 
				+ CASE meas_unit WHEN 1 THEN 'CBM'
						ELSE 'CUFT'
				END,
	total_ctn = sum(ctn_to - ctn_from + 1), 
	total_qty = pack_list_detail.qty, 
	qty_unit = sys_qty_unit.data2 
FROM	(SELECT	key_seq "</definedName>
    <definedName name="SQL_SQL__211" localSheetId="4" hidden="1">"= left(pack_list_ctn.key_seq, 12), ctn_from, ctn_to, gw, nw, nnw, w_unit, length, width, height, meas_unit, s_pack _x000D_
		FROM	pack_list_ctn (nolock)_x000D_
				INNER JOIN pack_list_ctn_info (nolock)_x000D_
					ON (pack_list_ctn.key_seq = pack_list_ctn_info.key_se"</definedName>
    <definedName name="SQL_SQL__211">"= left(pack_list_ctn.key_seq, 12), ctn_from, ctn_to, gw, nw, nnw, w_unit, length, width, height, meas_unit, s_pack 
		FROM	pack_list_ctn (nolock)
				INNER JOIN pack_list_ctn_info (nolock)
					ON (pack_list_ctn.key_seq = pack_list_ctn_info.key_se"</definedName>
    <definedName name="SQL_SQL__212" localSheetId="4" hidden="1">"q)_x000D_
		WHERE	left(pack_list_ctn.link_key_seq, 8) = @key_seq AND _x000D_
			s_pack &gt; 0 _x000D_
		GROUP BY left(pack_list_ctn.key_seq, 12), ctn_from, ctn_to, gw, nw, nnw, w_unit, length, width, height, meas_unit, s_pack_x000D_
_x000D_
		UNION ALL_x000D_
_x000D_
		SELECT	key_seq = left(pac"</definedName>
    <definedName name="SQL_SQL__212">"q)
		WHERE	left(pack_list_ctn.link_key_seq, 8) = @key_seq AND 
			s_pack &gt; 0 
		GROUP BY left(pack_list_ctn.key_seq, 12), ctn_from, ctn_to, gw, nw, nnw, w_unit, length, width, height, meas_unit, s_pack
		UNION ALL
		SELECT	key_seq = left(pac"</definedName>
    <definedName name="SQL_SQL__213" localSheetId="4" hidden="1">"k_list_ctn.key_seq, 12), ctn_from, ctn_to, gw, nw, nnw, w_unit, length, width, height, meas_unit, s_pack _x000D_
		FROM	pack_list_ctn (nolock)_x000D_
				INNER JOIN pack_list_ctn_info (nolock)_x000D_
					ON (pack_list_ctn.key_seq = pack_list_ctn_info.key_seq)_x000D_
		WHER"</definedName>
    <definedName name="SQL_SQL__213">"k_list_ctn.key_seq, 12), ctn_from, ctn_to, gw, nw, nnw, w_unit, length, width, height, meas_unit, s_pack 
		FROM	pack_list_ctn (nolock)
				INNER JOIN pack_list_ctn_info (nolock)
					ON (pack_list_ctn.key_seq = pack_list_ctn_info.key_seq)
		WHER"</definedName>
    <definedName name="SQL_SQL__214" localSheetId="4" hidden="1">"E	left(pack_list_ctn.link_key_seq, 8) = @key_seq AND _x000D_
			(s_pack = 0 or s_pack is null)_x000D_
	) ctn_info _x000D_
		INNER JOIN pack_list_detail (nolock)_x000D_
			ON (ctn_info.key_seq = pack_list_detail.key_seq) _x000D_
		LEFT OUTER JOIN system_table sys_w_unit (nolock)_x000D_
"</definedName>
    <definedName name="SQL_SQL__214">"E	left(pack_list_ctn.link_key_seq, 8) = @key_seq AND 
			(s_pack = 0 or s_pack is null)
	) ctn_info 
		INNER JOIN pack_list_detail (nolock)
			ON (ctn_info.key_seq = pack_list_detail.key_seq) 
		LEFT OUTER JOIN system_table sys_w_unit (nolock)
"</definedName>
    <definedName name="SQL_SQL__215" localSheetId="4" hidden="1">"			ON (ctn_info.w_unit = sys_w_unit.sysno)_x000D_
		LEFT OUTER JOIN system_table sys_qty_unit (nolock)_x000D_
			ON (pack_list_detail.qty_unit = sys_qty_unit.sysno)_x000D_
WHERE	left(pack_list_detail.key_seq, 8)  = @key_seq _x000D_
GROUP BY rtrim(ctn_info.key_seq) + '0001',"</definedName>
    <definedName name="SQL_SQL__215">"			ON (ctn_info.w_unit = sys_w_unit.sysno)
		LEFT OUTER JOIN system_table sys_qty_unit (nolock)
			ON (pack_list_detail.qty_unit = sys_qty_unit.sysno)
WHERE	left(pack_list_detail.key_seq, 8)  = @key_seq 
GROUP BY rtrim(ctn_info.key_seq) + '0001',"</definedName>
    <definedName name="SQL_SQL__216" localSheetId="4" hidden="1">" sys_w_unit.data2, meas_unit, pack_list_detail.qty, sys_qty_unit.data2 _x000D_
_x000D_
_x000D_
/******************/_x000D_
/* L1_RemarkTitle */_x000D_
/******************/_x000D_
SELECT	key_seq = rtrim(pack_list_detail.key_seq) + '0001',_x000D_
	remark_label = CASE WHEN count(*) &gt; 0 THEN 'RE"</definedName>
    <definedName name="SQL_SQL__216">" sys_w_unit.data2, meas_unit, pack_list_detail.qty, sys_qty_unit.data2 
/******************/
/* L1_RemarkTitle */
/******************/
SELECT	key_seq = rtrim(pack_list_detail.key_seq) + '0001',
	remark_label = CASE WHEN count(*) &gt; 0 THEN 'RE"</definedName>
    <definedName name="SQL_SQL__217" localSheetId="4" hidden="1">"MARK'_x000D_
			ELSE ''_x000D_
			END_x000D_
FROM	pack_list_detail (nolock)_x000D_
		LEFT OUTER JOIN remark (nolock)_x000D_
			ON (pack_list_detail.link_key_seq = remark.link_key_seq)_x000D_
WHERE	( pack_list_detail.link_key_seq = @key_seq ) AND  _x000D_
	( remark.trans_type = 'PL' ) AND  _x000D_
"</definedName>
    <definedName name="SQL_SQL__217">"MARK'
			ELSE ''
			END
FROM	pack_list_detail (nolock)
		LEFT OUTER JOIN remark (nolock)
			ON (pack_list_detail.link_key_seq = remark.link_key_seq)
WHERE	( pack_list_detail.link_key_seq = @key_seq ) AND  
	( remark.trans_type = 'PL' ) AND  
"</definedName>
    <definedName name="SQL_SQL__218" localSheetId="4" hidden="1">"	( remark.print_option = 'Y' ) _x000D_
GROUP BY  pack_list_detail.key_seq  _x000D_
_x000D_
_x000D_
/*************/_x000D_
/* L1_Remark */_x000D_
/*************/_x000D_
SELECT	key_seq = rtrim(pack_list_detail.key_seq) + '0001', _x000D_
	remark_type = remark.remark_type,   _x000D_
	description = remark.de"</definedName>
    <definedName name="SQL_SQL__218">"	( remark.print_option = 'Y' ) 
GROUP BY  pack_list_detail.key_seq  
/*************/
/* L1_Remark */
/*************/
SELECT	key_seq = rtrim(pack_list_detail.key_seq) + '0001', 
	remark_type = remark.remark_type,   
	description = remark.de"</definedName>
    <definedName name="SQL_SQL__219" localSheetId="4" hidden="1">"scription,   _x000D_
	sort_seq = remark.sort_seq _x000D_
FROM	pack_list_detail (nolock)_x000D_
		LEFT OUTER JOIN remark (nolock)_x000D_
			ON (pack_list_detail.link_key_seq = remark.link_key_seq)_x000D_
WHERE	( pack_list_detail.link_key_seq = @key_seq ) AND  _x000D_
        ( remark.tr"</definedName>
    <definedName name="SQL_SQL__219">"scription,   
	sort_seq = remark.sort_seq 
FROM	pack_list_detail (nolock)
		LEFT OUTER JOIN remark (nolock)
			ON (pack_list_detail.link_key_seq = remark.link_key_seq)
WHERE	( pack_list_detail.link_key_seq = @key_seq ) AND  
        ( remark.tr"</definedName>
    <definedName name="SQL_SQL__22" localSheetId="4" hidden="1">"_x000D_
WHERE	( pack_list_detail.link_key_seq = @key_seq ) AND _x000D_
	( pack_list_pack_des.size_des1 IS NOT NULL ) AND _x000D_
	(isnull(pack_list_pack.size1, 0) + isnull(pack_list_pack.size2, 0) + isnull(pack_list_pack.size3, 0) +_x000D_
	isnull(pack_list_pack.size4, 0) +"</definedName>
    <definedName name="SQL_SQL__22">"
WHERE	( pack_list_detail.link_key_seq = @key_seq ) AND 
	( pack_list_pack_des.size_des1 IS NOT NULL ) AND 
	(isnull(pack_list_pack.size1, 0) + isnull(pack_list_pack.size2, 0) + isnull(pack_list_pack.size3, 0) +
	isnull(pack_list_pack.size4, 0) +"</definedName>
    <definedName name="SQL_SQL__220" localSheetId="4" hidden="1">"ans_type = 'PL' ) AND  _x000D_
        ( remark.print_option = 'Y' )   _x000D_
ORDER BY remark.sort_seq    _x000D_
_x000D_
_x000D_
/************/_x000D_
/* Clean up */_x000D_
/************/_x000D_
drop table #packing_info_des, _x000D_
	#packing_info,_x000D_
	#packing_info_temp,_x000D_
	#carton_info_temp1,_x000D_
	#carton"</definedName>
    <definedName name="SQL_SQL__220">"ans_type = 'PL' ) AND  
        ( remark.print_option = 'Y' )   
ORDER BY remark.sort_seq    
/************/
/* Clean up */
/************/
drop table #packing_info_des, 
	#packing_info,
	#packing_info_temp,
	#carton_info_temp1,
	#carton"</definedName>
    <definedName name="SQL_SQL__221" localSheetId="4" hidden="1">"_info_temp2,_x000D_
	#carton_info,_x000D_
	#carton_info_total,_x000D_
	#colour_size_des, _x000D_
	#colour_size_x000D_
	"</definedName>
    <definedName name="SQL_SQL__221">"_info_temp2,
	#carton_info,
	#carton_info_total,
	#colour_size_des, 
	#colour_size
	"</definedName>
    <definedName name="SQL_SQL__23" localSheetId="4" hidden="1">" isnull(pack_list_pack.size5, 0) + isnull(pack_list_pack.size6, 0) +_x000D_
	isnull(pack_list_pack.size7, 0) + isnull(pack_list_pack.size8, 0) + isnull(pack_list_pack.size9, 0) +_x000D_
	isnull(pack_list_pack.size10, 0) + isnull(pack_list_pack.size11, 0) + isnul"</definedName>
    <definedName name="SQL_SQL__23">" isnull(pack_list_pack.size5, 0) + isnull(pack_list_pack.size6, 0) +
	isnull(pack_list_pack.size7, 0) + isnull(pack_list_pack.size8, 0) + isnull(pack_list_pack.size9, 0) +
	isnull(pack_list_pack.size10, 0) + isnull(pack_list_pack.size11, 0) + isnul"</definedName>
    <definedName name="SQL_SQL__24" localSheetId="4" hidden="1">"l(pack_list_pack.size12, 0) +_x000D_
	isnull(pack_list_pack.size13, 0) + isnull(pack_list_pack.size14, 0) + isnull(pack_list_pack.size15, 0) +_x000D_
	isnull(pack_list_pack.size16, 0) + isnull(pack_list_pack.size17, 0) + isnull(pack_list_pack.size18, 0) +_x000D_
	isnu"</definedName>
    <definedName name="SQL_SQL__24">"l(pack_list_pack.size12, 0) +
	isnull(pack_list_pack.size13, 0) + isnull(pack_list_pack.size14, 0) + isnull(pack_list_pack.size15, 0) +
	isnull(pack_list_pack.size16, 0) + isnull(pack_list_pack.size17, 0) + isnull(pack_list_pack.size18, 0) +
	isnu"</definedName>
    <definedName name="SQL_SQL__25" localSheetId="4" hidden="1">"ll(pack_list_pack.size19, 0) + isnull(pack_list_pack.size20, 0) + isnull(pack_list_pack.size21, 0) +_x000D_
	isnull(pack_list_pack.size22, 0) + isnull(pack_list_pack.size23, 0) + isnull(pack_list_pack.size24, 0) +_x000D_
	isnull(pack_list_pack.size25, 0) + isnul"</definedName>
    <definedName name="SQL_SQL__25">"ll(pack_list_pack.size19, 0) + isnull(pack_list_pack.size20, 0) + isnull(pack_list_pack.size21, 0) +
	isnull(pack_list_pack.size22, 0) + isnull(pack_list_pack.size23, 0) + isnull(pack_list_pack.size24, 0) +
	isnull(pack_list_pack.size25, 0) + isnul"</definedName>
    <definedName name="SQL_SQL__26" localSheetId="4" hidden="1">"l(pack_list_pack.size26, 0) + isnull(pack_list_pack.size27, 0) +_x000D_
	isnull(pack_list_pack.size28, 0) + isnull(pack_list_pack.size29, 0) +_x000D_
	isnull(pack_list_pack.size30, 0)) &gt; 0 _x000D_
_x000D_
INSERT INTO #packing_info_des _x000D_
SELECT	DISTINCT rtrim(pack_list_detai"</definedName>
    <definedName name="SQL_SQL__26">"l(pack_list_pack.size26, 0) + isnull(pack_list_pack.size27, 0) +
	isnull(pack_list_pack.size28, 0) + isnull(pack_list_pack.size29, 0) +
	isnull(pack_list_pack.size30, 0)) &gt; 0 
INSERT INTO #packing_info_des 
SELECT	DISTINCT rtrim(pack_list_detai"</definedName>
    <definedName name="SQL_SQL__27" localSheetId="4" hidden="1">"l.key_seq) + '0002', _x000D_
	null,_x000D_
	'TOTAL (' + system_table.data2 + ')',_x000D_
	pack_list_pack_des.size_des17,   _x000D_
	pack_list_pack_des.size_des18,   _x000D_
	pack_list_pack_des.size_des19,   _x000D_
	pack_list_pack_des.size_des20,   _x000D_
	pack_list_pack_des.size_des21,   _x000D_"</definedName>
    <definedName name="SQL_SQL__27">"l.key_seq) + '0002', 
	null,
	'TOTAL (' + system_table.data2 + ')',
	pack_list_pack_des.size_des17,   
	pack_list_pack_des.size_des18,   
	pack_list_pack_des.size_des19,   
	pack_list_pack_des.size_des20,   
	pack_list_pack_des.size_des21,   
"</definedName>
    <definedName name="SQL_SQL__28" localSheetId="4" hidden="1">"
	pack_list_pack_des.size_des22,   _x000D_
	pack_list_pack_des.size_des23,   _x000D_
	pack_list_pack_des.size_des24,   _x000D_
	pack_list_pack_des.size_des25,   _x000D_
	pack_list_pack_des.size_des26,_x000D_
	pack_list_pack_des.size_des27,   _x000D_
	pack_list_pack_des.size_des28,   _x000D_
"</definedName>
    <definedName name="SQL_SQL__28">"
	pack_list_pack_des.size_des22,   
	pack_list_pack_des.size_des23,   
	pack_list_pack_des.size_des24,   
	pack_list_pack_des.size_des25,   
	pack_list_pack_des.size_des26,
	pack_list_pack_des.size_des27,   
	pack_list_pack_des.size_des28,   
"</definedName>
    <definedName name="SQL_SQL__29" localSheetId="4" hidden="1">"	pack_list_pack_des.size_des29,   _x000D_
	pack_list_pack_des.size_des30,   _x000D_
	null,   _x000D_
	null _x000D_
FROM	pack_list_detail (nolock) _x000D_
		INNER JOIN pack_list_pack (nolock)_x000D_
			ON ( pack_list_detail.key_seq = pack_list_pack.link_key_seq )_x000D_
		INNER JOIN pack_list"</definedName>
    <definedName name="SQL_SQL__29">"	pack_list_pack_des.size_des29,   
	pack_list_pack_des.size_des30,   
	null,   
	null 
FROM	pack_list_detail (nolock) 
		INNER JOIN pack_list_pack (nolock)
			ON ( pack_list_detail.key_seq = pack_list_pack.link_key_seq )
		INNER JOIN pack_list"</definedName>
    <definedName name="SQL_SQL__3" localSheetId="4" hidden="1">"k_list_master.source,   _x000D_
	destination = pack_list_master.destination,   _x000D_
	program = pack_list_master.program,   _x000D_
	season = pack_list_master.season,   _x000D_
	dept = pack_list_master.dept,   _x000D_
	div = pack_list_master.div,   _x000D_
	cust_po = CASE WHEN @nbr_c"</definedName>
    <definedName name="SQL_SQL__3">"k_list_master.source,   
	destination = pack_list_master.destination,   
	program = pack_list_master.program,   
	season = pack_list_master.season,   
	dept = pack_list_master.dept,   
	div = pack_list_master.div,   
	cust_po = CASE WHEN @nbr_c"</definedName>
    <definedName name="SQL_SQL__30" localSheetId="4" hidden="1">"_pack_des (nolock) _x000D_
			ON ( pack_list_detail.key_seq = pack_list_pack_des.key_seq )_x000D_
		LEFT OUTER JOIN system_table (nolock) _x000D_
			ON ( pack_list_detail.qty_unit = system_table.sysno ) _x000D_
WHERE	( pack_list_detail.link_key_seq = @key_seq ) AND _x000D_
	( pac"</definedName>
    <definedName name="SQL_SQL__30">"_pack_des (nolock) 
			ON ( pack_list_detail.key_seq = pack_list_pack_des.key_seq )
		LEFT OUTER JOIN system_table (nolock) 
			ON ( pack_list_detail.qty_unit = system_table.sysno ) 
WHERE	( pack_list_detail.link_key_seq = @key_seq ) AND 
	( pac"</definedName>
    <definedName name="SQL_SQL__31" localSheetId="4" hidden="1">"k_list_pack_des.size_des17 IS NOT NULL ) AND _x000D_
	(isnull(pack_list_pack.size1, 0) + isnull(pack_list_pack.size2, 0) + isnull(pack_list_pack.size3, 0) +_x000D_
	isnull(pack_list_pack.size4, 0) + isnull(pack_list_pack.size5, 0) + isnull(pack_list_pack.size6, "</definedName>
    <definedName name="SQL_SQL__31">"k_list_pack_des.size_des17 IS NOT NULL ) AND 
	(isnull(pack_list_pack.size1, 0) + isnull(pack_list_pack.size2, 0) + isnull(pack_list_pack.size3, 0) +
	isnull(pack_list_pack.size4, 0) + isnull(pack_list_pack.size5, 0) + isnull(pack_list_pack.size6, "</definedName>
    <definedName name="SQL_SQL__32" localSheetId="4" hidden="1">"0) +_x000D_
	isnull(pack_list_pack.size7, 0) + isnull(pack_list_pack.size8, 0) + isnull(pack_list_pack.size9, 0) +_x000D_
	isnull(pack_list_pack.size10, 0) + isnull(pack_list_pack.size11, 0) + isnull(pack_list_pack.size12, 0) +_x000D_
	isnull(pack_list_pack.size13, 0)"</definedName>
    <definedName name="SQL_SQL__32">"0) +
	isnull(pack_list_pack.size7, 0) + isnull(pack_list_pack.size8, 0) + isnull(pack_list_pack.size9, 0) +
	isnull(pack_list_pack.size10, 0) + isnull(pack_list_pack.size11, 0) + isnull(pack_list_pack.size12, 0) +
	isnull(pack_list_pack.size13, 0)"</definedName>
    <definedName name="SQL_SQL__33" localSheetId="4" hidden="1">" + isnull(pack_list_pack.size14, 0) + isnull(pack_list_pack.size15, 0) +_x000D_
	isnull(pack_list_pack.size16, 0) + isnull(pack_list_pack.size17, 0) + isnull(pack_list_pack.size18, 0) +_x000D_
	isnull(pack_list_pack.size19, 0) + isnull(pack_list_pack.size20, 0) "</definedName>
    <definedName name="SQL_SQL__33">" + isnull(pack_list_pack.size14, 0) + isnull(pack_list_pack.size15, 0) +
	isnull(pack_list_pack.size16, 0) + isnull(pack_list_pack.size17, 0) + isnull(pack_list_pack.size18, 0) +
	isnull(pack_list_pack.size19, 0) + isnull(pack_list_pack.size20, 0) "</definedName>
    <definedName name="SQL_SQL__34" localSheetId="4" hidden="1">"+ isnull(pack_list_pack.size21, 0) +_x000D_
	isnull(pack_list_pack.size22, 0) + isnull(pack_list_pack.size23, 0) + isnull(pack_list_pack.size24, 0) +_x000D_
	isnull(pack_list_pack.size25, 0) + isnull(pack_list_pack.size26, 0) + isnull(pack_list_pack.size27, 0) +"</definedName>
    <definedName name="SQL_SQL__34">"+ isnull(pack_list_pack.size21, 0) +
	isnull(pack_list_pack.size22, 0) + isnull(pack_list_pack.size23, 0) + isnull(pack_list_pack.size24, 0) +
	isnull(pack_list_pack.size25, 0) + isnull(pack_list_pack.size26, 0) + isnull(pack_list_pack.size27, 0) +"</definedName>
    <definedName name="SQL_SQL__35" localSheetId="4" hidden="1">"_x000D_
	isnull(pack_list_pack.size28, 0) + isnull(pack_list_pack.size29, 0) +_x000D_
	isnull(pack_list_pack.size30, 0)) &gt; 0 _x000D_
_x000D_
SELECT * _x000D_
FROM #packing_info_des (nolock)_x000D_
ORDER BY key_seq _x000D_
_x000D_
_x000D_
/*********************************************************/_x000D_
/* Pa"</definedName>
    <definedName name="SQL_SQL__35">"
	isnull(pack_list_pack.size28, 0) + isnull(pack_list_pack.size29, 0) +
	isnull(pack_list_pack.size30, 0)) &gt; 0 
SELECT * 
FROM #packing_info_des (nolock)
ORDER BY key_seq 
/*********************************************************/
/* Pa"</definedName>
    <definedName name="SQL_SQL__36" localSheetId="4" hidden="1">"cking Info - (L2_PackingInfo &amp; L1_PackingInfoTotal) */_x000D_
/*********************************************************/_x000D_
CREATE TABLE #packing_info ( _x000D_
	key_seq VARCHAR(20), _x000D_
	sort_seq int, _x000D_
	colour VARCHAR(20), _x000D_
	cust_colour VARCHAR(20), _x000D_
	colour_lo"</definedName>
    <definedName name="SQL_SQL__36">"cking Info - (L2_PackingInfo &amp; L1_PackingInfoTotal) */
/*********************************************************/
CREATE TABLE #packing_info ( 
	key_seq VARCHAR(20), 
	sort_seq int, 
	colour VARCHAR(20), 
	cust_colour VARCHAR(20), 
	colour_lo"</definedName>
    <definedName name="SQL_SQL__37" localSheetId="4" hidden="1">"t VARCHAR(20),_x000D_
	width VARCHAR(20), _x000D_
	s_pack int,   _x000D_
	ctn_from int,   _x000D_
	ctn_to int,   _x000D_
	ctn VARCHAR(25),_x000D_
	total_ctn int,_x000D_
	pack VARCHAR(30),_x000D_
	qty1 VARCHAR(10), _x000D_
	qty2 VARCHAR(10), _x000D_
	qty3 VARCHAR(10), _x000D_
	qty4 VARCHAR(10), _x000D_
	qty5 VARCHAR(10), "</definedName>
    <definedName name="SQL_SQL__37">"t VARCHAR(20),
	width VARCHAR(20), 
	s_pack int,   
	ctn_from int,   
	ctn_to int,   
	ctn VARCHAR(25),
	total_ctn int,
	pack VARCHAR(30),
	qty1 VARCHAR(10), 
	qty2 VARCHAR(10), 
	qty3 VARCHAR(10), 
	qty4 VARCHAR(10), 
	qty5 VARCHAR(10), "</definedName>
    <definedName name="SQL_SQL__38" localSheetId="4" hidden="1">"_x000D_
	qty6 VARCHAR(10), _x000D_
	qty7 VARCHAR(10), _x000D_
	qty8 VARCHAR(10), _x000D_
	qty9 VARCHAR(10), _x000D_
	qty10 VARCHAR(10), _x000D_
	qty11 VARCHAR(10), _x000D_
	qty12 VARCHAR(10), _x000D_
	qty13 VARCHAR(10), _x000D_
	qty14 VARCHAR(10), _x000D_
	qty15 VARCHAR(10), _x000D_
	qty16 VARCHAR(10), _x000D_
	total int"</definedName>
    <definedName name="SQL_SQL__38">"
	qty6 VARCHAR(10), 
	qty7 VARCHAR(10), 
	qty8 VARCHAR(10), 
	qty9 VARCHAR(10), 
	qty10 VARCHAR(10), 
	qty11 VARCHAR(10), 
	qty12 VARCHAR(10), 
	qty13 VARCHAR(10), 
	qty14 VARCHAR(10), 
	qty15 VARCHAR(10), 
	qty16 VARCHAR(10), 
	total int"</definedName>
    <definedName name="SQL_SQL__39" localSheetId="4" hidden="1">",_x000D_
	ctn_flag int_x000D_
)_x000D_
_x000D_
CREATE TABLE #packing_info_temp ( _x000D_
	key_seq VARCHAR(20), _x000D_
	sort_seq int, _x000D_
	s_pack int,   _x000D_
	ctn_from int,   _x000D_
	ctn_to int   _x000D_
)_x000D_
_x000D_
INSERT INTO #packing_info_x000D_
SELECT	left(pack_list_pack.key_seq, 12) + '0001' + right(rtrim(pac"</definedName>
    <definedName name="SQL_SQL__39">",
	ctn_flag int
)
CREATE TABLE #packing_info_temp ( 
	key_seq VARCHAR(20), 
	sort_seq int, 
	s_pack int,   
	ctn_from int,   
	ctn_to int   
)
INSERT INTO #packing_info
SELECT	left(pack_list_pack.key_seq, 12) + '0001' + right(rtrim(pac"</definedName>
    <definedName name="SQL_SQL__4" localSheetId="4" hidden="1">"ust_po = 1 THEN @max_cust_po _x000D_
		ELSE ''_x000D_
		END   _x000D_
FROM	pack_list_master (nolock)_x000D_
		INNER JOIN pack_list_detail (nolock)_x000D_
			ON ( pack_list_master.key_seq = pack_list_detail.link_key_seq ) _x000D_
WHERE	pack_list_master.key_seq = @key_seq_x000D_
ORDER BY pack_"</definedName>
    <definedName name="SQL_SQL__4">"ust_po = 1 THEN @max_cust_po 
		ELSE ''
		END   
FROM	pack_list_master (nolock)
		INNER JOIN pack_list_detail (nolock)
			ON ( pack_list_master.key_seq = pack_list_detail.link_key_seq ) 
WHERE	pack_list_master.key_seq = @key_seq
ORDER BY pack_"</definedName>
    <definedName name="SQL_SQL__40" localSheetId="4" hidden="1">"k_list_pack.key_seq), 4), _x000D_
	pack_list_pack.sort_seq, _x000D_
	pack_list_pack.colour,   _x000D_
	pack_list_pack.cust_colour,   _x000D_
	pack_list_pack.colour_lot,   _x000D_
	pack_list_pack.width,   _x000D_
	pack_list_ctn.s_pack,   _x000D_
	pack_list_ctn.ctn_from,   _x000D_
	pack_list_ctn.ctn"</definedName>
    <definedName name="SQL_SQL__40">"k_list_pack.key_seq), 4), 
	pack_list_pack.sort_seq, 
	pack_list_pack.colour,   
	pack_list_pack.cust_colour,   
	pack_list_pack.colour_lot,   
	pack_list_pack.width,   
	pack_list_ctn.s_pack,   
	pack_list_ctn.ctn_from,   
	pack_list_ctn.ctn"</definedName>
    <definedName name="SQL_SQL__41" localSheetId="4" hidden="1">"_to,   _x000D_
	CASE WHEN pack_list_ctn.ctn_from = pack_list_ctn.ctn_to THEN CAST (pack_list_ctn.ctn_from AS VARCHAR) _x000D_
		ELSE CAST (pack_list_ctn.ctn_from AS VARCHAR) + '-' + CAST (pack_list_ctn.ctn_to AS VARCHAR)_x000D_
		END,_x000D_
	pack_list_ctn.total_ctn,   _x000D_
	C"</definedName>
    <definedName name="SQL_SQL__41">"_to,   
	CASE WHEN pack_list_ctn.ctn_from = pack_list_ctn.ctn_to THEN CAST (pack_list_ctn.ctn_from AS VARCHAR) 
		ELSE CAST (pack_list_ctn.ctn_from AS VARCHAR) + '-' + CAST (pack_list_ctn.ctn_to AS VARCHAR)
		END,
	pack_list_ctn.total_ctn,   
	C"</definedName>
    <definedName name="SQL_SQL__42" localSheetId="4" hidden="1">"ASE WHEN pack_list_ctn.pack_no IS NULL THEN ''_x000D_
		ELSE rtrim(pack_list_ctn.pack_no) _x000D_
		END + ' x ' + CAST (pack_list_ctn.no_of_pack AS VARCHAR),_x000D_
	CASE WHEN pack_list_pack.size1 = 0 THEN '-' ELSE CAST(pack_list_pack.size1 AS VARCHAR) END,   _x000D_
	CASE "</definedName>
    <definedName name="SQL_SQL__42">"ASE WHEN pack_list_ctn.pack_no IS NULL THEN ''
		ELSE rtrim(pack_list_ctn.pack_no) 
		END + ' x ' + CAST (pack_list_ctn.no_of_pack AS VARCHAR),
	CASE WHEN pack_list_pack.size1 = 0 THEN '-' ELSE CAST(pack_list_pack.size1 AS VARCHAR) END,   
	CASE "</definedName>
    <definedName name="SQL_SQL__43" localSheetId="4" hidden="1">"WHEN pack_list_pack.size2 = 0 THEN '-' ELSE CAST(pack_list_pack.size2 AS VARCHAR) END,   _x000D_
	CASE WHEN pack_list_pack.size3 = 0 THEN '-' ELSE CAST(pack_list_pack.size3 AS VARCHAR) END,   _x000D_
	CASE WHEN pack_list_pack.size4 = 0 THEN '-' ELSE CAST(pack_li"</definedName>
    <definedName name="SQL_SQL__43">"WHEN pack_list_pack.size2 = 0 THEN '-' ELSE CAST(pack_list_pack.size2 AS VARCHAR) END,   
	CASE WHEN pack_list_pack.size3 = 0 THEN '-' ELSE CAST(pack_list_pack.size3 AS VARCHAR) END,   
	CASE WHEN pack_list_pack.size4 = 0 THEN '-' ELSE CAST(pack_li"</definedName>
    <definedName name="SQL_SQL__44" localSheetId="4" hidden="1">"st_pack.size4 AS VARCHAR) END,   _x000D_
	CASE WHEN pack_list_pack.size5 = 0 THEN '-' ELSE CAST(pack_list_pack.size5 AS VARCHAR) END,   _x000D_
	CASE WHEN pack_list_pack.size6 = 0 THEN '-' ELSE CAST(pack_list_pack.size6 AS VARCHAR) END,   _x000D_
	CASE WHEN pack_list_"</definedName>
    <definedName name="SQL_SQL__44">"st_pack.size4 AS VARCHAR) END,   
	CASE WHEN pack_list_pack.size5 = 0 THEN '-' ELSE CAST(pack_list_pack.size5 AS VARCHAR) END,   
	CASE WHEN pack_list_pack.size6 = 0 THEN '-' ELSE CAST(pack_list_pack.size6 AS VARCHAR) END,   
	CASE WHEN pack_list_"</definedName>
    <definedName name="SQL_SQL__45" localSheetId="4" hidden="1">"pack.size7 = 0 THEN '-' ELSE CAST(pack_list_pack.size7 AS VARCHAR) END,   _x000D_
	CASE WHEN pack_list_pack.size8 = 0 THEN '-' ELSE CAST(pack_list_pack.size8 AS VARCHAR) END,   _x000D_
	CASE WHEN pack_list_pack.size9 = 0 THEN '-' ELSE CAST(pack_list_pack.size9 A"</definedName>
    <definedName name="SQL_SQL__45">"pack.size7 = 0 THEN '-' ELSE CAST(pack_list_pack.size7 AS VARCHAR) END,   
	CASE WHEN pack_list_pack.size8 = 0 THEN '-' ELSE CAST(pack_list_pack.size8 AS VARCHAR) END,   
	CASE WHEN pack_list_pack.size9 = 0 THEN '-' ELSE CAST(pack_list_pack.size9 A"</definedName>
    <definedName name="SQL_SQL__46" localSheetId="4" hidden="1">"S VARCHAR) END,   _x000D_
	CASE WHEN pack_list_pack.size10 = 0 THEN '-' ELSE CAST(pack_list_pack.size10 AS VARCHAR) END,_x000D_
	CASE WHEN pack_list_pack.size11 = 0 THEN '-' ELSE CAST(pack_list_pack.size11 AS VARCHAR) END,   _x000D_
	CASE WHEN pack_list_pack.size12 = "</definedName>
    <definedName name="SQL_SQL__46">"S VARCHAR) END,   
	CASE WHEN pack_list_pack.size10 = 0 THEN '-' ELSE CAST(pack_list_pack.size10 AS VARCHAR) END,
	CASE WHEN pack_list_pack.size11 = 0 THEN '-' ELSE CAST(pack_list_pack.size11 AS VARCHAR) END,   
	CASE WHEN pack_list_pack.size12 = "</definedName>
    <definedName name="SQL_SQL__47" localSheetId="4" hidden="1">"0 THEN '-' ELSE CAST(pack_list_pack.size12 AS VARCHAR) END,   _x000D_
	CASE WHEN pack_list_pack.size13 = 0 THEN '-' ELSE CAST(pack_list_pack.size13 AS VARCHAR) END,   _x000D_
	CASE WHEN pack_list_pack.size14 = 0 THEN '-' ELSE CAST(pack_list_pack.size14 AS VARCHA"</definedName>
    <definedName name="SQL_SQL__47">"0 THEN '-' ELSE CAST(pack_list_pack.size12 AS VARCHAR) END,   
	CASE WHEN pack_list_pack.size13 = 0 THEN '-' ELSE CAST(pack_list_pack.size13 AS VARCHAR) END,   
	CASE WHEN pack_list_pack.size14 = 0 THEN '-' ELSE CAST(pack_list_pack.size14 AS VARCHA"</definedName>
    <definedName name="SQL_SQL__48" localSheetId="4" hidden="1">"R) END,   _x000D_
	CASE WHEN pack_list_pack.size15 = 0 THEN '-' ELSE CAST(pack_list_pack.size15 AS VARCHAR) END,   _x000D_
	CASE WHEN pack_list_pack.size16 = 0 THEN '-' ELSE CAST(pack_list_pack.size16 AS VARCHAR) END,   _x000D_
	CASE WHEN pack_list_pack_des.size_des17"</definedName>
    <definedName name="SQL_SQL__48">"R) END,   
	CASE WHEN pack_list_pack.size15 = 0 THEN '-' ELSE CAST(pack_list_pack.size15 AS VARCHAR) END,   
	CASE WHEN pack_list_pack.size16 = 0 THEN '-' ELSE CAST(pack_list_pack.size16 AS VARCHAR) END,   
	CASE WHEN pack_list_pack_des.size_des17"</definedName>
    <definedName name="SQL_SQL__49" localSheetId="4" hidden="1">" IS NOT NULL THEN NULL_x000D_
		ELSE (isnull(pack_list_pack.size1, 0) +_x000D_
				isnull(pack_list_pack.size2, 0) +_x000D_
				isnull(pack_list_pack.size3, 0) +_x000D_
				isnull(pack_list_pack.size4, 0) +_x000D_
				isnull(pack_list_pack.size5, 0) +_x000D_
				isnull(pack_list_pack.s"</definedName>
    <definedName name="SQL_SQL__49">" IS NOT NULL THEN NULL
		ELSE (isnull(pack_list_pack.size1, 0) +
				isnull(pack_list_pack.size2, 0) +
				isnull(pack_list_pack.size3, 0) +
				isnull(pack_list_pack.size4, 0) +
				isnull(pack_list_pack.size5, 0) +
				isnull(pack_list_pack.s"</definedName>
    <definedName name="SQL_SQL__5" localSheetId="4" hidden="1">"list_detail.key_seq_x000D_
_x000D_
_x000D_
/******************/_x000D_
/* L0_MasterAttn */_x000D_
/******************/_x000D_
SELECT	key_seq = pack_list_detail.key_seq, _x000D_
	description = company_address.description, _x000D_
	address1 =  company_address.address1, _x000D_
	contact = pack_list_master."</definedName>
    <definedName name="SQL_SQL__5">"list_detail.key_seq
/******************/
/* L0_MasterAttn */
/******************/
SELECT	key_seq = pack_list_detail.key_seq, 
	description = company_address.description, 
	address1 =  company_address.address1, 
	contact = pack_list_master."</definedName>
    <definedName name="SQL_SQL__50" localSheetId="4" hidden="1">"ize6, 0) +_x000D_
				isnull(pack_list_pack.size7, 0) +_x000D_
				isnull(pack_list_pack.size8, 0) +_x000D_
				isnull(pack_list_pack.size9, 0) +_x000D_
				isnull(pack_list_pack.size10, 0) +_x000D_
				isnull(pack_list_pack.size11, 0) +_x000D_
				isnull(pack_list_pack.size12, 0) +_x000D_
	"</definedName>
    <definedName name="SQL_SQL__50">"ize6, 0) +
				isnull(pack_list_pack.size7, 0) +
				isnull(pack_list_pack.size8, 0) +
				isnull(pack_list_pack.size9, 0) +
				isnull(pack_list_pack.size10, 0) +
				isnull(pack_list_pack.size11, 0) +
				isnull(pack_list_pack.size12, 0) +
	"</definedName>
    <definedName name="SQL_SQL__51" localSheetId="4" hidden="1">"			isnull(pack_list_pack.size13, 0) +_x000D_
				isnull(pack_list_pack.size14, 0) +_x000D_
				isnull(pack_list_pack.size15, 0) +_x000D_
				isnull(pack_list_pack.size16, 0) +_x000D_
				isnull(pack_list_pack.size17, 0) +_x000D_
				isnull(pack_list_pack.size18, 0) +_x000D_
				isnull("</definedName>
    <definedName name="SQL_SQL__51">"			isnull(pack_list_pack.size13, 0) +
				isnull(pack_list_pack.size14, 0) +
				isnull(pack_list_pack.size15, 0) +
				isnull(pack_list_pack.size16, 0) +
				isnull(pack_list_pack.size17, 0) +
				isnull(pack_list_pack.size18, 0) +
				isnull("</definedName>
    <definedName name="SQL_SQL__52" localSheetId="4" hidden="1">"pack_list_pack.size19, 0) +_x000D_
				isnull(pack_list_pack.size20, 0) +_x000D_
				isnull(pack_list_pack.size21, 0) +_x000D_
				isnull(pack_list_pack.size22, 0) +_x000D_
				isnull(pack_list_pack.size23, 0) +_x000D_
				isnull(pack_list_pack.size24, 0) +_x000D_
				isnull(pack_list_"</definedName>
    <definedName name="SQL_SQL__52">"pack_list_pack.size19, 0) +
				isnull(pack_list_pack.size20, 0) +
				isnull(pack_list_pack.size21, 0) +
				isnull(pack_list_pack.size22, 0) +
				isnull(pack_list_pack.size23, 0) +
				isnull(pack_list_pack.size24, 0) +
				isnull(pack_list_"</definedName>
    <definedName name="SQL_SQL__53" localSheetId="4" hidden="1">"pack.size25, 0) +_x000D_
				isnull(pack_list_pack.size26, 0) +_x000D_
				isnull(pack_list_pack.size27, 0) +_x000D_
				isnull(pack_list_pack.size28, 0) +_x000D_
				isnull(pack_list_pack.size29, 0) +_x000D_
				isnull(pack_list_pack.size30, 0)) * isnull(pack_list_ctn.no_of_pack"</definedName>
    <definedName name="SQL_SQL__53">"pack.size25, 0) +
				isnull(pack_list_pack.size26, 0) +
				isnull(pack_list_pack.size27, 0) +
				isnull(pack_list_pack.size28, 0) +
				isnull(pack_list_pack.size29, 0) +
				isnull(pack_list_pack.size30, 0)) * isnull(pack_list_ctn.no_of_pack"</definedName>
    <definedName name="SQL_SQL__54" localSheetId="4" hidden="1">", 0) * isnull(pack_list_ctn.total_ctn, 0)_x000D_
		END,_x000D_
	1_x000D_
FROM	pack_list_pack (nolock)_x000D_
		INNER JOIN pack_list_pack_des (nolock) _x000D_
			ON ( pack_list_pack_des.key_seq = pack_list_pack.link_key_seq )_x000D_
		INNER JOIN pack_list_ctn (nolock) _x000D_
			ON ( pack_lis"</definedName>
    <definedName name="SQL_SQL__54">", 0) * isnull(pack_list_ctn.total_ctn, 0)
		END,
	1
FROM	pack_list_pack (nolock)
		INNER JOIN pack_list_pack_des (nolock) 
			ON ( pack_list_pack_des.key_seq = pack_list_pack.link_key_seq )
		INNER JOIN pack_list_ctn (nolock) 
			ON ( pack_lis"</definedName>
    <definedName name="SQL_SQL__55" localSheetId="4" hidden="1">"t_ctn.key_seq = pack_list_pack.key_seq )_x000D_
WHERE	( left(pack_list_pack.link_key_seq, 8) = @key_seq ) AND _x000D_
	( pack_list_pack_des.size_des1 IS NOT NULL ) AND_x000D_
	( isnull(pack_list_pack.size1, 0) + isnull(pack_list_pack.size2, 0) + isnull(pack_list_pack."</definedName>
    <definedName name="SQL_SQL__55">"t_ctn.key_seq = pack_list_pack.key_seq )
WHERE	( left(pack_list_pack.link_key_seq, 8) = @key_seq ) AND 
	( pack_list_pack_des.size_des1 IS NOT NULL ) AND
	( isnull(pack_list_pack.size1, 0) + isnull(pack_list_pack.size2, 0) + isnull(pack_list_pack."</definedName>
    <definedName name="SQL_SQL__56" localSheetId="4" hidden="1">"size3, 0) +_x000D_
	  isnull(pack_list_pack.size4, 0) + isnull(pack_list_pack.size5, 0) + isnull(pack_list_pack.size6, 0) +_x000D_
	  isnull(pack_list_pack.size7, 0) + isnull(pack_list_pack.size8, 0) + isnull(pack_list_pack.size9, 0) +_x000D_
	  isnull(pack_list_pack."</definedName>
    <definedName name="SQL_SQL__56">"size3, 0) +
	  isnull(pack_list_pack.size4, 0) + isnull(pack_list_pack.size5, 0) + isnull(pack_list_pack.size6, 0) +
	  isnull(pack_list_pack.size7, 0) + isnull(pack_list_pack.size8, 0) + isnull(pack_list_pack.size9, 0) +
	  isnull(pack_list_pack."</definedName>
    <definedName name="SQL_SQL__57" localSheetId="4" hidden="1">"size10, 0) + isnull(pack_list_pack.size11, 0) + isnull(pack_list_pack.size12, 0) +_x000D_
	  isnull(pack_list_pack.size13, 0) + isnull(pack_list_pack.size14, 0) + isnull(pack_list_pack.size15, 0) +_x000D_
	  isnull(pack_list_pack.size16, 0) + isnull(pack_list_pa"</definedName>
    <definedName name="SQL_SQL__57">"size10, 0) + isnull(pack_list_pack.size11, 0) + isnull(pack_list_pack.size12, 0) +
	  isnull(pack_list_pack.size13, 0) + isnull(pack_list_pack.size14, 0) + isnull(pack_list_pack.size15, 0) +
	  isnull(pack_list_pack.size16, 0) + isnull(pack_list_pa"</definedName>
    <definedName name="SQL_SQL__58" localSheetId="4" hidden="1">"ck.size17, 0) + isnull(pack_list_pack.size18, 0) +_x000D_
	  isnull(pack_list_pack.size19, 0) + isnull(pack_list_pack.size20, 0) + isnull(pack_list_pack.size21, 0) +_x000D_
	  isnull(pack_list_pack.size22, 0) + isnull(pack_list_pack.size23, 0) + isnull(pack_list"</definedName>
    <definedName name="SQL_SQL__58">"ck.size17, 0) + isnull(pack_list_pack.size18, 0) +
	  isnull(pack_list_pack.size19, 0) + isnull(pack_list_pack.size20, 0) + isnull(pack_list_pack.size21, 0) +
	  isnull(pack_list_pack.size22, 0) + isnull(pack_list_pack.size23, 0) + isnull(pack_list"</definedName>
    <definedName name="SQL_SQL__59" localSheetId="4" hidden="1">"_pack.size24, 0) +_x000D_
	  isnull(pack_list_pack.size25, 0) + isnull(pack_list_pack.size26, 0) + isnull(pack_list_pack.size27, 0) +_x000D_
	  isnull(pack_list_pack.size28, 0) + isnull(pack_list_pack.size29, 0) +_x000D_
	  isnull(pack_list_pack.size30, 0) ) &gt; 0_x000D_
ORDE"</definedName>
    <definedName name="SQL_SQL__59">"_pack.size24, 0) +
	  isnull(pack_list_pack.size25, 0) + isnull(pack_list_pack.size26, 0) + isnull(pack_list_pack.size27, 0) +
	  isnull(pack_list_pack.size28, 0) + isnull(pack_list_pack.size29, 0) +
	  isnull(pack_list_pack.size30, 0) ) &gt; 0
ORDE"</definedName>
    <definedName name="SQL_SQL__6" localSheetId="4" hidden="1">"company_contact      _x000D_
FROM	pack_list_master (nolock) _x000D_
		INNER JOIN pack_list_detail (nolock)_x000D_
			ON ( pack_list_master.key_seq = pack_list_detail.link_key_seq ) _x000D_
		INNER JOIN company (nolock) _x000D_
			ON ( company.company = pack_list_master.company )_x000D_"</definedName>
    <definedName name="SQL_SQL__6">"company_contact      
FROM	pack_list_master (nolock) 
		INNER JOIN pack_list_detail (nolock)
			ON ( pack_list_master.key_seq = pack_list_detail.link_key_seq ) 
		INNER JOIN company (nolock) 
			ON ( company.company = pack_list_master.company )
"</definedName>
    <definedName name="SQL_SQL__60" localSheetId="4" hidden="1">"R BY left(pack_list_pack.key_seq, 12) + '0001' + right(rtrim(pack_list_pack.key_seq), 4), pack_list_pack.sort_seq _x000D_
_x000D_
INSERT INTO #packing_info_x000D_
SELECT	left(pack_list_pack.key_seq, 12) + '0002' + right(rtrim(pack_list_pack.key_seq), 4), _x000D_
	pack_list_"</definedName>
    <definedName name="SQL_SQL__60">"R BY left(pack_list_pack.key_seq, 12) + '0001' + right(rtrim(pack_list_pack.key_seq), 4), pack_list_pack.sort_seq 
INSERT INTO #packing_info
SELECT	left(pack_list_pack.key_seq, 12) + '0002' + right(rtrim(pack_list_pack.key_seq), 4), 
	pack_list_"</definedName>
    <definedName name="SQL_SQL__61" localSheetId="4" hidden="1">"pack.sort_seq, _x000D_
	pack_list_pack.colour,   _x000D_
	pack_list_pack.cust_colour,   _x000D_
	pack_list_pack.colour_lot,   _x000D_
	pack_list_pack.width,   _x000D_
	pack_list_ctn.s_pack,   _x000D_
	pack_list_ctn.ctn_from,   _x000D_
	pack_list_ctn.ctn_to,   _x000D_
	CASE WHEN pack_list_ctn.ctn_f"</definedName>
    <definedName name="SQL_SQL__61">"pack.sort_seq, 
	pack_list_pack.colour,   
	pack_list_pack.cust_colour,   
	pack_list_pack.colour_lot,   
	pack_list_pack.width,   
	pack_list_ctn.s_pack,   
	pack_list_ctn.ctn_from,   
	pack_list_ctn.ctn_to,   
	CASE WHEN pack_list_ctn.ctn_f"</definedName>
    <definedName name="SQL_SQL__62" localSheetId="4" hidden="1">"rom = pack_list_ctn.ctn_to THEN CAST (pack_list_ctn.ctn_from AS VARCHAR) _x000D_
		ELSE CAST (pack_list_ctn.ctn_from AS VARCHAR) + '-' + CAST (pack_list_ctn.ctn_to AS VARCHAR)_x000D_
		END,_x000D_
	pack_list_ctn.total_ctn,   _x000D_
	CASE WHEN pack_list_ctn.pack_no IS NULL "</definedName>
    <definedName name="SQL_SQL__62">"rom = pack_list_ctn.ctn_to THEN CAST (pack_list_ctn.ctn_from AS VARCHAR) 
		ELSE CAST (pack_list_ctn.ctn_from AS VARCHAR) + '-' + CAST (pack_list_ctn.ctn_to AS VARCHAR)
		END,
	pack_list_ctn.total_ctn,   
	CASE WHEN pack_list_ctn.pack_no IS NULL "</definedName>
    <definedName name="SQL_SQL__63" localSheetId="4" hidden="1">"THEN ''_x000D_
		ELSE rtrim(pack_list_ctn.pack_no) _x000D_
		END + ' x ' + CAST (pack_list_ctn.no_of_pack AS VARCHAR),_x000D_
	CASE WHEN pack_list_pack.size17 = 0 THEN '-' ELSE CAST(pack_list_pack.size17 AS VARCHAR) END,   _x000D_
	CASE WHEN pack_list_pack.size18 = 0 THEN '"</definedName>
    <definedName name="SQL_SQL__63">"THEN ''
		ELSE rtrim(pack_list_ctn.pack_no) 
		END + ' x ' + CAST (pack_list_ctn.no_of_pack AS VARCHAR),
	CASE WHEN pack_list_pack.size17 = 0 THEN '-' ELSE CAST(pack_list_pack.size17 AS VARCHAR) END,   
	CASE WHEN pack_list_pack.size18 = 0 THEN '"</definedName>
    <definedName name="SQL_SQL__64" localSheetId="4" hidden="1">"-' ELSE CAST(pack_list_pack.size18 AS VARCHAR) END,   _x000D_
	CASE WHEN pack_list_pack.size19 = 0 THEN '-' ELSE CAST(pack_list_pack.size19 AS VARCHAR) END,   _x000D_
	CASE WHEN pack_list_pack.size20 = 0 THEN '-' ELSE CAST(pack_list_pack.size20 AS VARCHAR) END, "</definedName>
    <definedName name="SQL_SQL__64">"-' ELSE CAST(pack_list_pack.size18 AS VARCHAR) END,   
	CASE WHEN pack_list_pack.size19 = 0 THEN '-' ELSE CAST(pack_list_pack.size19 AS VARCHAR) END,   
	CASE WHEN pack_list_pack.size20 = 0 THEN '-' ELSE CAST(pack_list_pack.size20 AS VARCHAR) END, "</definedName>
    <definedName name="SQL_SQL__65" localSheetId="4" hidden="1">"  _x000D_
	CASE WHEN pack_list_pack.size21 = 0 THEN '-' ELSE CAST(pack_list_pack.size21 AS VARCHAR) END,   _x000D_
	CASE WHEN pack_list_pack.size22 = 0 THEN '-' ELSE CAST(pack_list_pack.size22 AS VARCHAR) END,   _x000D_
	CASE WHEN pack_list_pack.size23 = 0 THEN '-' EL"</definedName>
    <definedName name="SQL_SQL__65">"  
	CASE WHEN pack_list_pack.size21 = 0 THEN '-' ELSE CAST(pack_list_pack.size21 AS VARCHAR) END,   
	CASE WHEN pack_list_pack.size22 = 0 THEN '-' ELSE CAST(pack_list_pack.size22 AS VARCHAR) END,   
	CASE WHEN pack_list_pack.size23 = 0 THEN '-' EL"</definedName>
    <definedName name="SQL_SQL__66" localSheetId="4" hidden="1">"SE CAST(pack_list_pack.size23 AS VARCHAR) END,   _x000D_
	CASE WHEN pack_list_pack.size24 = 0 THEN '-' ELSE CAST(pack_list_pack.size24 AS VARCHAR) END,   _x000D_
	CASE WHEN pack_list_pack.size25 = 0 THEN '-' ELSE CAST(pack_list_pack.size25 AS VARCHAR) END,   _x000D_
	"</definedName>
    <definedName name="SQL_SQL__66">"SE CAST(pack_list_pack.size23 AS VARCHAR) END,   
	CASE WHEN pack_list_pack.size24 = 0 THEN '-' ELSE CAST(pack_list_pack.size24 AS VARCHAR) END,   
	CASE WHEN pack_list_pack.size25 = 0 THEN '-' ELSE CAST(pack_list_pack.size25 AS VARCHAR) END,   
	"</definedName>
    <definedName name="SQL_SQL__67" localSheetId="4" hidden="1">"CASE WHEN pack_list_pack.size26 = 0 THEN '-' ELSE CAST(pack_list_pack.size26 AS VARCHAR) END,_x000D_
	CASE WHEN pack_list_pack.size27 = 0 THEN '-' ELSE CAST(pack_list_pack.size27 AS VARCHAR) END,   _x000D_
	CASE WHEN pack_list_pack.size28 = 0 THEN '-' ELSE CAST("</definedName>
    <definedName name="SQL_SQL__67">"CASE WHEN pack_list_pack.size26 = 0 THEN '-' ELSE CAST(pack_list_pack.size26 AS VARCHAR) END,
	CASE WHEN pack_list_pack.size27 = 0 THEN '-' ELSE CAST(pack_list_pack.size27 AS VARCHAR) END,   
	CASE WHEN pack_list_pack.size28 = 0 THEN '-' ELSE CAST("</definedName>
    <definedName name="SQL_SQL__68" localSheetId="4" hidden="1">"pack_list_pack.size28 AS VARCHAR) END,   _x000D_
	CASE WHEN pack_list_pack.size29 = 0 THEN '-' ELSE CAST(pack_list_pack.size29 AS VARCHAR) END,   _x000D_
	CASE WHEN pack_list_pack.size30 = 0 THEN '-' ELSE CAST(pack_list_pack.size30 AS VARCHAR) END,   _x000D_
	null,   "</definedName>
    <definedName name="SQL_SQL__68">"pack_list_pack.size28 AS VARCHAR) END,   
	CASE WHEN pack_list_pack.size29 = 0 THEN '-' ELSE CAST(pack_list_pack.size29 AS VARCHAR) END,   
	CASE WHEN pack_list_pack.size30 = 0 THEN '-' ELSE CAST(pack_list_pack.size30 AS VARCHAR) END,   
	null,   "</definedName>
    <definedName name="SQL_SQL__69" localSheetId="4" hidden="1">"_x000D_
	null,   _x000D_
	(isnull(pack_list_pack.size1, 0) +_x000D_
		isnull(pack_list_pack.size2, 0) +_x000D_
		isnull(pack_list_pack.size3, 0) +_x000D_
		isnull(pack_list_pack.size4, 0) +_x000D_
		isnull(pack_list_pack.size5, 0) +_x000D_
		isnull(pack_list_pack.size6, 0) +_x000D_
		isnull(pack_l"</definedName>
    <definedName name="SQL_SQL__69">"
	null,   
	(isnull(pack_list_pack.size1, 0) +
		isnull(pack_list_pack.size2, 0) +
		isnull(pack_list_pack.size3, 0) +
		isnull(pack_list_pack.size4, 0) +
		isnull(pack_list_pack.size5, 0) +
		isnull(pack_list_pack.size6, 0) +
		isnull(pack_l"</definedName>
    <definedName name="SQL_SQL__7" localSheetId="4" hidden="1">"
		LEFT OUTER JOIN company_address (nolock) _x000D_
			ON ( company.key_seq = company_address.link_key_seq AND_x000D_
				company_address.type = pack_list_master.company_address ) _x000D_
WHERE	( pack_list_master.key_seq = @key_seq ) AND _x000D_
	( company.co_type = 'CC')  "</definedName>
    <definedName name="SQL_SQL__7">"
		LEFT OUTER JOIN company_address (nolock) 
			ON ( company.key_seq = company_address.link_key_seq AND
				company_address.type = pack_list_master.company_address ) 
WHERE	( pack_list_master.key_seq = @key_seq ) AND 
	( company.co_type = 'CC')  "</definedName>
    <definedName name="SQL_SQL__70" localSheetId="4" hidden="1">"ist_pack.size7, 0) +_x000D_
		isnull(pack_list_pack.size8, 0) +_x000D_
		isnull(pack_list_pack.size9, 0) +_x000D_
		isnull(pack_list_pack.size10, 0) +_x000D_
		isnull(pack_list_pack.size11, 0) +_x000D_
		isnull(pack_list_pack.size12, 0) +_x000D_
		isnull(pack_list_pack.size13, 0) +_x000D_
		"</definedName>
    <definedName name="SQL_SQL__70">"ist_pack.size7, 0) +
		isnull(pack_list_pack.size8, 0) +
		isnull(pack_list_pack.size9, 0) +
		isnull(pack_list_pack.size10, 0) +
		isnull(pack_list_pack.size11, 0) +
		isnull(pack_list_pack.size12, 0) +
		isnull(pack_list_pack.size13, 0) +
		"</definedName>
    <definedName name="SQL_SQL__71" localSheetId="4" hidden="1">"isnull(pack_list_pack.size14, 0) +_x000D_
		isnull(pack_list_pack.size15, 0) +_x000D_
		isnull(pack_list_pack.size16, 0) +_x000D_
		isnull(pack_list_pack.size17, 0) +_x000D_
		isnull(pack_list_pack.size18, 0) +_x000D_
		isnull(pack_list_pack.size19, 0) +_x000D_
		isnull(pack_list_pack."</definedName>
    <definedName name="SQL_SQL__71">"isnull(pack_list_pack.size14, 0) +
		isnull(pack_list_pack.size15, 0) +
		isnull(pack_list_pack.size16, 0) +
		isnull(pack_list_pack.size17, 0) +
		isnull(pack_list_pack.size18, 0) +
		isnull(pack_list_pack.size19, 0) +
		isnull(pack_list_pack."</definedName>
    <definedName name="SQL_SQL__72" localSheetId="4" hidden="1">"size20, 0) +_x000D_
		isnull(pack_list_pack.size21, 0) +_x000D_
		isnull(pack_list_pack.size22, 0) +_x000D_
		isnull(pack_list_pack.size23, 0) +_x000D_
		isnull(pack_list_pack.size24, 0) +_x000D_
		isnull(pack_list_pack.size25, 0) +_x000D_
		isnull(pack_list_pack.size26, 0) +_x000D_
		isnull"</definedName>
    <definedName name="SQL_SQL__72">"size20, 0) +
		isnull(pack_list_pack.size21, 0) +
		isnull(pack_list_pack.size22, 0) +
		isnull(pack_list_pack.size23, 0) +
		isnull(pack_list_pack.size24, 0) +
		isnull(pack_list_pack.size25, 0) +
		isnull(pack_list_pack.size26, 0) +
		isnull"</definedName>
    <definedName name="SQL_SQL__73" localSheetId="4" hidden="1">"(pack_list_pack.size27, 0) +_x000D_
		isnull(pack_list_pack.size28, 0) +_x000D_
		isnull(pack_list_pack.size29, 0) +_x000D_
		isnull(pack_list_pack.size30, 0)) * isnull(pack_list_ctn.no_of_pack, 0) * isnull(pack_list_ctn.total_ctn, 0),_x000D_
	1_x000D_
FROM	pack_list_pack (nolock"</definedName>
    <definedName name="SQL_SQL__73">"(pack_list_pack.size27, 0) +
		isnull(pack_list_pack.size28, 0) +
		isnull(pack_list_pack.size29, 0) +
		isnull(pack_list_pack.size30, 0)) * isnull(pack_list_ctn.no_of_pack, 0) * isnull(pack_list_ctn.total_ctn, 0),
	1
FROM	pack_list_pack (nolock"</definedName>
    <definedName name="SQL_SQL__74" localSheetId="4" hidden="1">")_x000D_
		INNER JOIN pack_list_pack_des (nolock) _x000D_
			ON ( pack_list_pack_des.key_seq = pack_list_pack.link_key_seq )_x000D_
		INNER JOIN pack_list_ctn (nolock) _x000D_
			ON ( pack_list_ctn.key_seq = pack_list_pack.key_seq )_x000D_
WHERE	( left(pack_list_pack.link_key_seq"</definedName>
    <definedName name="SQL_SQL__74">")
		INNER JOIN pack_list_pack_des (nolock) 
			ON ( pack_list_pack_des.key_seq = pack_list_pack.link_key_seq )
		INNER JOIN pack_list_ctn (nolock) 
			ON ( pack_list_ctn.key_seq = pack_list_pack.key_seq )
WHERE	( left(pack_list_pack.link_key_seq"</definedName>
    <definedName name="SQL_SQL__75" localSheetId="4" hidden="1">", 8) = @key_seq ) AND _x000D_
	( pack_list_pack_des.size_des17 IS NOT NULL ) AND_x000D_
	( isnull(pack_list_pack.size1, 0) + isnull(pack_list_pack.size2, 0) + isnull(pack_list_pack.size3, 0) +_x000D_
	  isnull(pack_list_pack.size4, 0) + isnull(pack_list_pack.size5, 0)"</definedName>
    <definedName name="SQL_SQL__75">", 8) = @key_seq ) AND 
	( pack_list_pack_des.size_des17 IS NOT NULL ) AND
	( isnull(pack_list_pack.size1, 0) + isnull(pack_list_pack.size2, 0) + isnull(pack_list_pack.size3, 0) +
	  isnull(pack_list_pack.size4, 0) + isnull(pack_list_pack.size5, 0)"</definedName>
    <definedName name="SQL_SQL__76" localSheetId="4" hidden="1">" + isnull(pack_list_pack.size6, 0) +_x000D_
	  isnull(pack_list_pack.size7, 0) + isnull(pack_list_pack.size8, 0) + isnull(pack_list_pack.size9, 0) +_x000D_
	  isnull(pack_list_pack.size10, 0) + isnull(pack_list_pack.size11, 0) + isnull(pack_list_pack.size12, 0) "</definedName>
    <definedName name="SQL_SQL__76">" + isnull(pack_list_pack.size6, 0) +
	  isnull(pack_list_pack.size7, 0) + isnull(pack_list_pack.size8, 0) + isnull(pack_list_pack.size9, 0) +
	  isnull(pack_list_pack.size10, 0) + isnull(pack_list_pack.size11, 0) + isnull(pack_list_pack.size12, 0) "</definedName>
    <definedName name="SQL_SQL__77" localSheetId="4" hidden="1">"+_x000D_
	  isnull(pack_list_pack.size13, 0) + isnull(pack_list_pack.size14, 0) + isnull(pack_list_pack.size15, 0) +_x000D_
	  isnull(pack_list_pack.size16, 0) + isnull(pack_list_pack.size17, 0) + isnull(pack_list_pack.size18, 0) +_x000D_
	  isnull(pack_list_pack.size"</definedName>
    <definedName name="SQL_SQL__77">"+
	  isnull(pack_list_pack.size13, 0) + isnull(pack_list_pack.size14, 0) + isnull(pack_list_pack.size15, 0) +
	  isnull(pack_list_pack.size16, 0) + isnull(pack_list_pack.size17, 0) + isnull(pack_list_pack.size18, 0) +
	  isnull(pack_list_pack.size"</definedName>
    <definedName name="SQL_SQL__78" localSheetId="4" hidden="1">"19, 0) + isnull(pack_list_pack.size20, 0) + isnull(pack_list_pack.size21, 0) +_x000D_
	  isnull(pack_list_pack.size22, 0) + isnull(pack_list_pack.size23, 0) + isnull(pack_list_pack.size24, 0) +_x000D_
	  isnull(pack_list_pack.size25, 0) + isnull(pack_list_pack.s"</definedName>
    <definedName name="SQL_SQL__78">"19, 0) + isnull(pack_list_pack.size20, 0) + isnull(pack_list_pack.size21, 0) +
	  isnull(pack_list_pack.size22, 0) + isnull(pack_list_pack.size23, 0) + isnull(pack_list_pack.size24, 0) +
	  isnull(pack_list_pack.size25, 0) + isnull(pack_list_pack.s"</definedName>
    <definedName name="SQL_SQL__79" localSheetId="4" hidden="1">"ize26, 0) + isnull(pack_list_pack.size27, 0) +_x000D_
	  isnull(pack_list_pack.size28, 0) + isnull(pack_list_pack.size29, 0) +_x000D_
	  isnull(pack_list_pack.size30, 0) ) &gt; 0_x000D_
ORDER BY left(pack_list_pack.key_seq, 12) + '0002' + right(rtrim(pack_list_pack.key_s"</definedName>
    <definedName name="SQL_SQL__79">"ize26, 0) + isnull(pack_list_pack.size27, 0) +
	  isnull(pack_list_pack.size28, 0) + isnull(pack_list_pack.size29, 0) +
	  isnull(pack_list_pack.size30, 0) ) &gt; 0
ORDER BY left(pack_list_pack.key_seq, 12) + '0002' + right(rtrim(pack_list_pack.key_s"</definedName>
    <definedName name="SQL_SQL__8" localSheetId="4" hidden="1">" _x000D_
ORDER BY pack_list_detail.key_seq_x000D_
_x000D_
_x000D_
/************/_x000D_
/* L0_Style */_x000D_
/************/_x000D_
SELECT	key_seq = pack_list_detail.key_seq, _x000D_
	ship_mark = pack_list_detail.ship_mark,   _x000D_
	description = pack_list_detail.description,   _x000D_
	cust_article = pack_"</definedName>
    <definedName name="SQL_SQL__8">" 
ORDER BY pack_list_detail.key_seq
/************/
/* L0_Style */
/************/
SELECT	key_seq = pack_list_detail.key_seq, 
	ship_mark = pack_list_detail.ship_mark,   
	description = pack_list_detail.description,   
	cust_article = pack_"</definedName>
    <definedName name="SQL_SQL__80" localSheetId="4" hidden="1">"eq), 4), pack_list_pack.sort_seq _x000D_
_x000D_
INSERT INTO #packing_info_temp_x000D_
SELECT	key_seq, _x000D_
	sort_seq, _x000D_
	s_pack,   _x000D_
	ctn_from,   _x000D_
	ctn_to_x000D_
FROM	#packing_info_x000D_
_x000D_
/* start - update ctn_flag for total_ctn calculation */_x000D_
UPDATE	#packing_info_x000D_
SET	ctn_flag"</definedName>
    <definedName name="SQL_SQL__80">"eq), 4), pack_list_pack.sort_seq 
INSERT INTO #packing_info_temp
SELECT	key_seq, 
	sort_seq, 
	s_pack,   
	ctn_from,   
	ctn_to
FROM	#packing_info
/* start - update ctn_flag for total_ctn calculation */
UPDATE	#packing_info
SET	ctn_flag"</definedName>
    <definedName name="SQL_SQL__81" localSheetId="4" hidden="1">" = CASE WHEN (#packing_info.sort_seq = 1) OR_x000D_
			(isnull(#packing_info.s_pack, 0) = 0) OR_x000D_
			(isnull(#packing_info.s_pack, 0) &gt; 0 AND _x000D_
				(isnull(#packing_info.ctn_from, 0) &gt;= isnull(#packing_info_temp.ctn_to, 0) + 1))  THEN 1_x000D_
			ELSE 0_x000D_
		END_x000D_
F"</definedName>
    <definedName name="SQL_SQL__81">" = CASE WHEN (#packing_info.sort_seq = 1) OR
			(isnull(#packing_info.s_pack, 0) = 0) OR
			(isnull(#packing_info.s_pack, 0) &gt; 0 AND 
				(isnull(#packing_info.ctn_from, 0) &gt;= isnull(#packing_info_temp.ctn_to, 0) + 1))  THEN 1
			ELSE 0
		END
F"</definedName>
    <definedName name="SQL_SQL__82" localSheetId="4" hidden="1">"ROM	#packing_info (nolock)_x000D_
		 INNER JOIN #packing_info_temp (nolock)_x000D_
			ON (#packing_info.sort_seq = #packing_info_temp.sort_seq + 1) _x000D_
WHERE	left(#packing_info.key_seq, 16) = left(#packing_info_temp.key_seq, 16)_x000D_
/* end - update ctn_flag for total"</definedName>
    <definedName name="SQL_SQL__82">"ROM	#packing_info (nolock)
		 INNER JOIN #packing_info_temp (nolock)
			ON (#packing_info.sort_seq = #packing_info_temp.sort_seq + 1) 
WHERE	left(#packing_info.key_seq, 16) = left(#packing_info_temp.key_seq, 16)
/* end - update ctn_flag for total"</definedName>
    <definedName name="SQL_SQL__83" localSheetId="4" hidden="1">"_ctn calculation */_x000D_
_x000D_
/* start - change total &amp; total_ctn for special packs */_x000D_
UPDATE	#packing_info_x000D_
SET	#packing_info.total = #packing_info.total + pack_sub.sub_total_x000D_
FROM	#packing_info (nolock)_x000D_
		INNER JOIN (SELECT	key_seq = left(#packing_info."</definedName>
    <definedName name="SQL_SQL__83">"_ctn calculation */
/* start - change total &amp; total_ctn for special packs */
UPDATE	#packing_info
SET	#packing_info.total = #packing_info.total + pack_sub.sub_total
FROM	#packing_info (nolock)
		INNER JOIN (SELECT	key_seq = left(#packing_info."</definedName>
    <definedName name="SQL_SQL__84" localSheetId="4" hidden="1">"key_seq, 12),_x000D_
					s_pack = #packing_info.s_pack,_x000D_
					ctn_from = #packing_info.ctn_from,_x000D_
					ctn_to = #packing_info.ctn_to,_x000D_
					sub_total = sum(#packing_info.total)_x000D_
				FROM	#packing_info (nolock)_x000D_
						INNER JOIN #packing_info a (nolock)_x000D_
	"</definedName>
    <definedName name="SQL_SQL__84">"key_seq, 12),
					s_pack = #packing_info.s_pack,
					ctn_from = #packing_info.ctn_from,
					ctn_to = #packing_info.ctn_to,
					sub_total = sum(#packing_info.total)
				FROM	#packing_info (nolock)
						INNER JOIN #packing_info a (nolock)
	"</definedName>
    <definedName name="SQL_SQL__85" localSheetId="4" hidden="1">"						ON ( #packing_info.key_seq = a.key_seq )_x000D_
				WHERE	#packing_info.s_pack = a.s_pack AND_x000D_
					#packing_info.ctn_from = a.ctn_from AND_x000D_
					#packing_info.ctn_to = a.ctn_to AND_x000D_
					#packing_info.ctn_flag = 0_x000D_
				GROUP BY left(#packing_info.ke"</definedName>
    <definedName name="SQL_SQL__85">"						ON ( #packing_info.key_seq = a.key_seq )
				WHERE	#packing_info.s_pack = a.s_pack AND
					#packing_info.ctn_from = a.ctn_from AND
					#packing_info.ctn_to = a.ctn_to AND
					#packing_info.ctn_flag = 0
				GROUP BY left(#packing_info.ke"</definedName>
    <definedName name="SQL_SQL__86" localSheetId="4" hidden="1">"y_seq, 12), #packing_info.s_pack, #packing_info.ctn_from, #packing_info.ctn_to) pack_sub _x000D_
			ON ( left(#packing_info.key_seq, 12) = pack_sub.key_seq )_x000D_
WHERE	#packing_info.s_pack = pack_sub.s_pack AND_x000D_
	#packing_info.ctn_from = pack_sub.ctn_from AND"</definedName>
    <definedName name="SQL_SQL__86">"y_seq, 12), #packing_info.s_pack, #packing_info.ctn_from, #packing_info.ctn_to) pack_sub 
			ON ( left(#packing_info.key_seq, 12) = pack_sub.key_seq )
WHERE	#packing_info.s_pack = pack_sub.s_pack AND
	#packing_info.ctn_from = pack_sub.ctn_from AND"</definedName>
    <definedName name="SQL_SQL__87" localSheetId="4" hidden="1">"_x000D_
	#packing_info.ctn_to = pack_sub.ctn_to AND_x000D_
	#packing_info.ctn_flag = 1_x000D_
	_x000D_
UPDATE	#packing_info_x000D_
SET	ctn = null,_x000D_
	total_ctn = null, _x000D_
	total = null_x000D_
FROM	#packing_info_x000D_
		INNER JOIN #packing_info a_x000D_
			ON ( #packing_info.key_seq = a.key_seq )_x000D_
W"</definedName>
    <definedName name="SQL_SQL__87">"
	#packing_info.ctn_to = pack_sub.ctn_to AND
	#packing_info.ctn_flag = 1
UPDATE	#packing_info
SET	ctn = null,
	total_ctn = null, 
	total = null
FROM	#packing_info
		INNER JOIN #packing_info a
			ON ( #packing_info.key_seq = a.key_seq )
W"</definedName>
    <definedName name="SQL_SQL__88" localSheetId="4" hidden="1">"HERE	#packing_info.s_pack = a.s_pack AND_x000D_
	#packing_info.s_pack = a.s_pack AND_x000D_
	#packing_info.ctn_from = a.ctn_from AND_x000D_
	#packing_info.ctn_to = a.ctn_to AND_x000D_
	#packing_info.ctn_flag = 0_x000D_
/* end - change total &amp; total_ctn for special packs */_x000D_
_x000D_
/**"</definedName>
    <definedName name="SQL_SQL__88">"HERE	#packing_info.s_pack = a.s_pack AND
	#packing_info.s_pack = a.s_pack AND
	#packing_info.ctn_from = a.ctn_from AND
	#packing_info.ctn_to = a.ctn_to AND
	#packing_info.ctn_flag = 0
/* end - change total &amp; total_ctn for special packs */
/**"</definedName>
    <definedName name="SQL_SQL__89" localSheetId="4" hidden="1">"****************/_x000D_
/* L2_PackingInfo */_x000D_
/******************/_x000D_
SELECT	* _x000D_
FROM	#packing_info (nolock)_x000D_
ORDER BY sort_seq _x000D_
_x000D_
_x000D_
/***********************/_x000D_
/* L1_PackingInfoTotal */_x000D_
/***********************/_x000D_
SELECT	key_seq = left(key_seq, 16),_x000D_
	tota"</definedName>
    <definedName name="SQL_SQL__89">"****************/
/* L2_PackingInfo */
/******************/
SELECT	* 
FROM	#packing_info (nolock)
ORDER BY sort_seq 
/***********************/
/* L1_PackingInfoTotal */
/***********************/
SELECT	key_seq = left(key_seq, 16),
	tota"</definedName>
    <definedName name="SQL_SQL__9" localSheetId="4" hidden="1">"list_detail.customer_article,   _x000D_
 	article = pack_list_detail.article,   _x000D_
	cust_po = CASE WHEN @nbr_cust_po = 1 THEN ''_x000D_
		ELSE pack_list_detail.customer_po_x000D_
		END,   _x000D_
	sc_no = pack_list_detail.sc_no,   _x000D_
	country_origin = system_table.data2  _x000D_
FR"</definedName>
    <definedName name="SQL_SQL__9">"list_detail.customer_article,   
 	article = pack_list_detail.article,   
	cust_po = CASE WHEN @nbr_cust_po = 1 THEN ''
		ELSE pack_list_detail.customer_po
		END,   
	sc_no = pack_list_detail.sc_no,   
	country_origin = system_table.data2  
FR"</definedName>
    <definedName name="SQL_SQL__90" localSheetId="4" hidden="1">"l_qty = sum(total),_x000D_
	total_ctn = CASE WHEN sum(total) IS NOT NULL THEN sum(total_ctn * ctn_flag) _x000D_
			ELSE NULL_x000D_
		END_x000D_
FROM	#packing_info (nolock)_x000D_
GROUP BY left(key_seq, 16) _x000D_
_x000D_
_x000D_
/******************************************************************"</definedName>
    <definedName name="SQL_SQL__90">"l_qty = sum(total),
	total_ctn = CASE WHEN sum(total) IS NOT NULL THEN sum(total_ctn * ctn_flag) 
			ELSE NULL
		END
FROM	#packing_info (nolock)
GROUP BY left(key_seq, 16) 
/******************************************************************"</definedName>
    <definedName name="SQL_SQL__91" localSheetId="4" hidden="1">"****/_x000D_
/* CartonInfo - (L1_CartonInfoDes, L1_CartonInfo &amp; L1_CartonInfoTotal) */_x000D_
/**********************************************************************/_x000D_
CREATE TABLE #carton_info_temp1 (_x000D_
	key_seq VARCHAR(20), _x000D_
	s_pack int, _x000D_
	ctn_from int,_x000D_
	ctn"</definedName>
    <definedName name="SQL_SQL__91">"****/
/* CartonInfo - (L1_CartonInfoDes, L1_CartonInfo &amp; L1_CartonInfoTotal) */
/**********************************************************************/
CREATE TABLE #carton_info_temp1 (
	key_seq VARCHAR(20), 
	s_pack int, 
	ctn_from int,
	ctn"</definedName>
    <definedName name="SQL_SQL__92" localSheetId="4" hidden="1">"_to int,_x000D_
	gw decimal(15, 4),_x000D_
	nw decimal(15, 4),_x000D_
	nnw decimal(15, 4),_x000D_
	w_unit VARCHAR(255),_x000D_
	length decimal(15, 4),_x000D_
	width decimal(15, 4), _x000D_
	height decimal(15, 4), _x000D_
	meas_unit VARCHAR(10),_x000D_
	dc VARCHAR(255),_x000D_
	volume decimal(15, 6), _x000D_
	sort_s"</definedName>
    <definedName name="SQL_SQL__92">"_to int,
	gw decimal(15, 4),
	nw decimal(15, 4),
	nnw decimal(15, 4),
	w_unit VARCHAR(255),
	length decimal(15, 4),
	width decimal(15, 4), 
	height decimal(15, 4), 
	meas_unit VARCHAR(10),
	dc VARCHAR(255),
	volume decimal(15, 6), 
	sort_s"</definedName>
    <definedName name="SQL_SQL__93" localSheetId="4" hidden="1">"eq int,_x000D_
	ctn_flag1 int,_x000D_
	ctn_flag2 int,_x000D_
	ctn_break1 int,_x000D_
	grp_flag int,_x000D_
	grp_break int_x000D_
)_x000D_
_x000D_
CREATE TABLE #carton_info_temp2 (_x000D_
	key_seq VARCHAR(20), _x000D_
	s_pack int, _x000D_
	ctn_from int,_x000D_
	ctn_to int,_x000D_
	gw decimal(15, 4),_x000D_
	nw decimal(15, 4),_x000D_
	nnw d"</definedName>
    <definedName name="SQL_SQL__93">"eq int,
	ctn_flag1 int,
	ctn_flag2 int,
	ctn_break1 int,
	grp_flag int,
	grp_break int
)
CREATE TABLE #carton_info_temp2 (
	key_seq VARCHAR(20), 
	s_pack int, 
	ctn_from int,
	ctn_to int,
	gw decimal(15, 4),
	nw decimal(15, 4),
	nnw d"</definedName>
    <definedName name="SQL_SQL__94" localSheetId="4" hidden="1">"ecimal(15, 4),_x000D_
	w_unit VARCHAR(255),_x000D_
	length decimal(15, 4),_x000D_
	width decimal(15, 4), _x000D_
	height decimal(15, 4), _x000D_
	meas_unit VARCHAR(10),_x000D_
	dc VARCHAR(255),_x000D_
	sort_seq int _x000D_
)_x000D_
_x000D_
CREATE TABLE #carton_info (_x000D_
	key_seq VARCHAR(20), _x000D_
	ctn_no VARCHAR(2"</definedName>
    <definedName name="SQL_SQL__94">"ecimal(15, 4),
	w_unit VARCHAR(255),
	length decimal(15, 4),
	width decimal(15, 4), 
	height decimal(15, 4), 
	meas_unit VARCHAR(10),
	dc VARCHAR(255),
	sort_seq int 
)
CREATE TABLE #carton_info (
	key_seq VARCHAR(20), 
	ctn_no VARCHAR(2"</definedName>
    <definedName name="SQL_SQL__95" localSheetId="4" hidden="1">"0),_x000D_
	gw decimal(15, 4),_x000D_
	nw decimal(15, 4),_x000D_
	nnw decimal(15, 4),_x000D_
	w_unit VARCHAR(255),_x000D_
	length decimal(15, 4),_x000D_
	width decimal(15, 4), _x000D_
	height decimal(15, 4), _x000D_
	meas_unit VARCHAR(10),_x000D_
	dc VARCHAR(255),_x000D_
	volume decimal(15, 6),_x000D_
	ctn_break in"</definedName>
    <definedName name="SQL_SQL__95">"0),
	gw decimal(15, 4),
	nw decimal(15, 4),
	nnw decimal(15, 4),
	w_unit VARCHAR(255),
	length decimal(15, 4),
	width decimal(15, 4), 
	height decimal(15, 4), 
	meas_unit VARCHAR(10),
	dc VARCHAR(255),
	volume decimal(15, 6),
	ctn_break in"</definedName>
    <definedName name="SQL_SQL__96" localSheetId="4" hidden="1">"t,_x000D_
	ctn_break1 int_x000D_
)_x000D_
_x000D_
CREATE TABLE #carton_info_total (_x000D_
	key_seq VARCHAR(20), _x000D_
	total_ctn int,_x000D_
	total_gw decimal(15, 4),_x000D_
	total_nw decimal(15, 4),_x000D_
	total_nnw decimal(15, 4),_x000D_
	total_volume VARCHAR(25)_x000D_
)_x000D_
_x000D_
INSERT INTO #carton_info_temp1_x000D_
SE"</definedName>
    <definedName name="SQL_SQL__96">"t,
	ctn_break1 int
)
CREATE TABLE #carton_info_total (
	key_seq VARCHAR(20), 
	total_ctn int,
	total_gw decimal(15, 4),
	total_nw decimal(15, 4),
	total_nnw decimal(15, 4),
	total_volume VARCHAR(25)
)
INSERT INTO #carton_info_temp1
SE"</definedName>
    <definedName name="SQL_SQL__97" localSheetId="4" hidden="1">"LECT	key_seq = pack_list_ctn.key_seq,_x000D_
	s_pack = pack_list_ctn.s_pack,   _x000D_
	ctn_from = pack_list_ctn.ctn_from,   _x000D_
	ctn_to = pack_list_ctn.ctn_to,   _x000D_
	gw = pack_list_ctn_info.gw,   _x000D_
	nw = pack_list_ctn_info.nw,   _x000D_
	nnw = pack_list_ctn_info.nnw,   "</definedName>
    <definedName name="SQL_SQL__97">"LECT	key_seq = pack_list_ctn.key_seq,
	s_pack = pack_list_ctn.s_pack,   
	ctn_from = pack_list_ctn.ctn_from,   
	ctn_to = pack_list_ctn.ctn_to,   
	gw = pack_list_ctn_info.gw,   
	nw = pack_list_ctn_info.nw,   
	nnw = pack_list_ctn_info.nnw,   "</definedName>
    <definedName name="SQL_SQL__98" localSheetId="4" hidden="1">"_x000D_
	w_unit = system_table.data2,   _x000D_
	length = pack_list_ctn_info.length,   _x000D_
	width = pack_list_ctn_info.width,   _x000D_
	height = pack_list_ctn_info.height,   _x000D_
	meas_unit = CASE pack_list_ctn_info.meas_unit _x000D_
			WHEN 1 THEN 'CM'_x000D_
			WHEN 2 THEN 'INCH'_x000D_
"</definedName>
    <definedName name="SQL_SQL__98">"
	w_unit = system_table.data2,   
	length = pack_list_ctn_info.length,   
	width = pack_list_ctn_info.width,   
	height = pack_list_ctn_info.height,   
	meas_unit = CASE pack_list_ctn_info.meas_unit 
			WHEN 1 THEN 'CM'
			WHEN 2 THEN 'INCH'
"</definedName>
    <definedName name="SQL_SQL__99" localSheetId="4" hidden="1">"			ELSE ''_x000D_
		END,   _x000D_
	dc = pack_list_ctn.dc,  _x000D_
	0,_x000D_
	sort_seq = pack_list_ctn_info.sort_seq,_x000D_
	0,_x000D_
	1,_x000D_
	0,_x000D_
	0,_x000D_
	0 _x000D_
FROM	pack_list_ctn_info (nolock)_x000D_
		INNER JOIN pack_list_ctn (nolock)_x000D_
			ON ( pack_list_ctn_info.key_seq = pack_list_ctn.key_se"</definedName>
    <definedName name="SQL_SQL__99">"			ELSE ''
		END,   
	dc = pack_list_ctn.dc,  
	0,
	sort_seq = pack_list_ctn_info.sort_seq,
	0,
	1,
	0,
	0,
	0 
FROM	pack_list_ctn_info (nolock)
		INNER JOIN pack_list_ctn (nolock)
			ON ( pack_list_ctn_info.key_seq = pack_list_ctn.key_se"</definedName>
    <definedName name="SQL_TABLEORDER">1</definedName>
    <definedName name="SQL_TABLEORDER__0">"top level&gt;&gt;L0_Master&gt;&gt;L0_MasterAttn&gt;&gt;L0_Style&gt;&gt;L0_ShipMarkLogo&gt;&gt;L0_ShipMarkText&gt;&gt;L1_PackingInfoDes&gt;&gt;L2_PackingInfo&gt;&gt;L1_PackingInfoTotal&gt;&gt;L1_CartonInfoDes&gt;&gt;L1_CartonInfo&gt;&gt;L1_CartonInfoTotal&gt;&gt;L1_ColourSizeDes&gt;&gt;L2_ColourSize&gt;&gt;L1_ColourSizeTotal&gt;&gt;L1_Summ"</definedName>
    <definedName name="SQL_TABLEORDER__1">"ary&gt;&gt;L1_RemarkTitle&gt;&gt;L1_Remark"</definedName>
    <definedName name="SQL_VARNAME">"@key_seq"</definedName>
    <definedName name="SQL_VARVALUE">"00006922"</definedName>
    <definedName name="SSize">NA()</definedName>
    <definedName name="SSize_1">"#N/A"</definedName>
    <definedName name="SSize_2">"#N/A"</definedName>
    <definedName name="SSize_3">"#N/A"</definedName>
    <definedName name="SSize_4">"#N/A"</definedName>
    <definedName name="SSize_5">"#N/A"</definedName>
    <definedName name="SSize_6">"#N/A"</definedName>
    <definedName name="SSize_7">"#N/A"</definedName>
    <definedName name="SSize_8">NA()</definedName>
    <definedName name="START">NA()</definedName>
    <definedName name="START_1">"#N/A"</definedName>
    <definedName name="START_2">NA()</definedName>
    <definedName name="STD_1">#REF!</definedName>
    <definedName name="STD_2">#REF!</definedName>
    <definedName name="STYLE">#REF!</definedName>
    <definedName name="STYLE_1">"#N/A"</definedName>
    <definedName name="STYLE_2">NA()</definedName>
    <definedName name="STYLE_STATUS">#REF!</definedName>
    <definedName name="STYLE_STATUS_1">#REF!</definedName>
    <definedName name="STYLESTATUS">NA()</definedName>
    <definedName name="STYLESTATUS_1">"#N/A"</definedName>
    <definedName name="STYLESTATUS_2">"#N/A"</definedName>
    <definedName name="STYLESTATUS_3">"#N/A"</definedName>
    <definedName name="STYLESTATUS_4">"#N/A"</definedName>
    <definedName name="STYLESTATUS_5">"#N/A"</definedName>
    <definedName name="STYLESTATUS_6">"#N/A"</definedName>
    <definedName name="STYLESTATUS_7">"#N/A"</definedName>
    <definedName name="STYLESTATUS_8">NA()</definedName>
    <definedName name="SUMMARY_1">"#REF!"</definedName>
    <definedName name="SUMMARY_2">"#REF!"</definedName>
    <definedName name="SupplierAdd">OFFSET([4]SUPPLIER!$B$1,0,0,1,COUNTA([4]SUPPLIER:BUYER!$A$1:$IV$1)-1)</definedName>
    <definedName name="SupplierList">OFFSET([4]SUPPLIER!$A$2,0,0,COUNTA([4]SUPPLIER:BUYER!$A$1:$A$1)-1,COUNTA([4]SUPPLIER:BUYER!$A$1:$IV$1))</definedName>
    <definedName name="SupplierName">OFFSET([4]SUPPLIER!$A$2,0,0,COUNTA([4]SUPPLIER:BUYER!$A$1:$A$1)-1)</definedName>
    <definedName name="SW" localSheetId="4">[1]Sheet3!$H$2:$H$4</definedName>
    <definedName name="SZ_1">#REF!</definedName>
    <definedName name="SZ_10">#REF!</definedName>
    <definedName name="SZ_11">#REF!</definedName>
    <definedName name="SZ_12">#REF!</definedName>
    <definedName name="SZ_13">#REF!</definedName>
    <definedName name="SZ_14">#REF!</definedName>
    <definedName name="SZ_15">#REF!</definedName>
    <definedName name="SZ_16">#REF!</definedName>
    <definedName name="SZ_17">#REF!</definedName>
    <definedName name="SZ_18">#REF!</definedName>
    <definedName name="SZ_19">#REF!</definedName>
    <definedName name="SZ_2">#REF!</definedName>
    <definedName name="SZ_20">#REF!</definedName>
    <definedName name="SZ_21">#REF!</definedName>
    <definedName name="SZ_3">#REF!</definedName>
    <definedName name="SZ_4">#REF!</definedName>
    <definedName name="SZ_5">#REF!</definedName>
    <definedName name="SZ_6">#REF!</definedName>
    <definedName name="SZ_7">#REF!</definedName>
    <definedName name="SZ_8">#REF!</definedName>
    <definedName name="SZ_9">#REF!</definedName>
    <definedName name="T">NA()</definedName>
    <definedName name="t.extract">#REF!</definedName>
    <definedName name="tax1_1">NA()</definedName>
    <definedName name="tax1_15">NA()</definedName>
    <definedName name="tax1_19">NA()</definedName>
    <definedName name="tax1_2">NA()</definedName>
    <definedName name="tax1_2_1">NA()</definedName>
    <definedName name="tax1_2_2">NA()</definedName>
    <definedName name="tax1_2_3">NA()</definedName>
    <definedName name="tax1_2_4">NA()</definedName>
    <definedName name="tax1_2_6">NA()</definedName>
    <definedName name="tax1_20">NA()</definedName>
    <definedName name="tax1_21">NA()</definedName>
    <definedName name="tax1_22">NA()</definedName>
    <definedName name="tax1_8">NA()</definedName>
    <definedName name="tax2_1">NA()</definedName>
    <definedName name="tax2_15">NA()</definedName>
    <definedName name="tax2_19">NA()</definedName>
    <definedName name="tax2_2">NA()</definedName>
    <definedName name="tax2_2_1">NA()</definedName>
    <definedName name="tax2_2_2">NA()</definedName>
    <definedName name="tax2_2_3">NA()</definedName>
    <definedName name="tax2_2_4">NA()</definedName>
    <definedName name="tax2_2_6">NA()</definedName>
    <definedName name="tax2_20">NA()</definedName>
    <definedName name="tax2_21">NA()</definedName>
    <definedName name="tax2_22">NA()</definedName>
    <definedName name="tax2_8">NA()</definedName>
    <definedName name="tax3_1">NA()</definedName>
    <definedName name="tax3_15">NA()</definedName>
    <definedName name="tax3_19">NA()</definedName>
    <definedName name="tax3_2">NA()</definedName>
    <definedName name="tax3_2_1">NA()</definedName>
    <definedName name="tax3_2_2">NA()</definedName>
    <definedName name="tax3_2_3">NA()</definedName>
    <definedName name="tax3_2_4">NA()</definedName>
    <definedName name="tax3_2_6">NA()</definedName>
    <definedName name="tax3_20">NA()</definedName>
    <definedName name="tax3_21">NA()</definedName>
    <definedName name="tax3_22">NA()</definedName>
    <definedName name="tax3_8">NA()</definedName>
    <definedName name="tax4_1">NA()</definedName>
    <definedName name="tax4_15">NA()</definedName>
    <definedName name="tax4_19">NA()</definedName>
    <definedName name="tax4_2">NA()</definedName>
    <definedName name="tax4_2_1">NA()</definedName>
    <definedName name="tax4_2_2">NA()</definedName>
    <definedName name="tax4_2_3">NA()</definedName>
    <definedName name="tax4_2_4">NA()</definedName>
    <definedName name="tax4_2_6">NA()</definedName>
    <definedName name="tax4_20">NA()</definedName>
    <definedName name="tax4_21">NA()</definedName>
    <definedName name="tax4_22">NA()</definedName>
    <definedName name="tax4_8">NA()</definedName>
    <definedName name="TaxTV">0.1</definedName>
    <definedName name="TaxXL">0.05</definedName>
    <definedName name="TelNo">OFFSET([4]SUPPLIER!$E$2,0,0,COUNTA([4]SUPPLIER:BUYER!$E$1:$E$1)-1)</definedName>
    <definedName name="TENNESSEE_1">"#REF!"</definedName>
    <definedName name="TENNESSEE_2">"#REF!"</definedName>
    <definedName name="TermOfPayment">OFFSET([4]MISC!$B$2,0,0,COUNTA(#REF!)-1)</definedName>
    <definedName name="TEST0_1">"#REF!"</definedName>
    <definedName name="TEST0_2">"#REF!"</definedName>
    <definedName name="TEST1_1">"#REF!"</definedName>
    <definedName name="TEST1_2">"#REF!"</definedName>
    <definedName name="TEST2_1">"#REF!"</definedName>
    <definedName name="TEST2_2">"#REF!"</definedName>
    <definedName name="TEST3_1">"#REF!"</definedName>
    <definedName name="TEST3_2">"#REF!"</definedName>
    <definedName name="TESTHKEY_1">"#REF!"</definedName>
    <definedName name="TESTHKEY_2">"#REF!"</definedName>
    <definedName name="TESTKEYS_1">"#REF!"</definedName>
    <definedName name="TESTKEYS_2">"#REF!"</definedName>
    <definedName name="TESTVKEY_1">"#REF!"</definedName>
    <definedName name="TESTVKEY_2">"#REF!"</definedName>
    <definedName name="THK">NA()</definedName>
    <definedName name="TIDAK">OFFSET([14]DATA!$A$2,0,0,COUNTA(#REF!)-1,COUNTA(#REF!)-1)</definedName>
    <definedName name="TIMBER" localSheetId="1">SUM(IF(#REF!=STD_1,IF(#REF!=0,IF(CT_Q=0,1,CT_Q)*SZ_14,IF(#REF!=STD_2,IF(CT_Q=0,1,CT_Q)*SZ_14))))</definedName>
    <definedName name="TIMBER" localSheetId="3">SUM(IF(#REF!=STD_1,IF(#REF!=0,IF(CT_Q=0,1,CT_Q)*SZ_14,IF(#REF!=STD_2,IF(CT_Q=0,1,CT_Q)*SZ_14))))</definedName>
    <definedName name="TIMBER">SUM(IF(#REF!=STD_1,IF(#REF!=0,IF(CT_Q=0,1,CT_Q)*SZ_14,IF(#REF!=STD_2,IF(CT_Q=0,1,CT_Q)*SZ_14))))</definedName>
    <definedName name="TITAN">#REF!</definedName>
    <definedName name="title_1">"#REF!"</definedName>
    <definedName name="title_2">"#REF!"</definedName>
    <definedName name="TN_FRANCH_1">"#REF!"</definedName>
    <definedName name="TN_FRANCH_2">"#REF!"</definedName>
    <definedName name="TOT">NA()</definedName>
    <definedName name="TOT_1">NA()</definedName>
    <definedName name="TOT_15">NA()</definedName>
    <definedName name="TOT_19">NA()</definedName>
    <definedName name="TOT_2">NA()</definedName>
    <definedName name="TOT_2_1">NA()</definedName>
    <definedName name="TOT_2_2">NA()</definedName>
    <definedName name="TOT_2_3">NA()</definedName>
    <definedName name="TOT_2_4">NA()</definedName>
    <definedName name="TOT_2_6">NA()</definedName>
    <definedName name="TOT_20">NA()</definedName>
    <definedName name="TOT_21">NA()</definedName>
    <definedName name="TOT_22">NA()</definedName>
    <definedName name="TOT_8">NA()</definedName>
    <definedName name="TOTAL">#REF!</definedName>
    <definedName name="total03_1">"#REF!"</definedName>
    <definedName name="total03_2">"#REF!"</definedName>
    <definedName name="total04_1">"#REF!"</definedName>
    <definedName name="total04_2">"#REF!"</definedName>
    <definedName name="total05_1">"#REF!"</definedName>
    <definedName name="total05_2">"#REF!"</definedName>
    <definedName name="Transport">#REF!</definedName>
    <definedName name="TransportMode">#REF!</definedName>
    <definedName name="uku">OFFSET([2]DATA!$A$2,0,0,COUNTA([2]DATA:COLOUR!$A$1:$A$9)-1,COUNTA([2]DATA:COLOUR!$A$1:$IV$1)-1)</definedName>
    <definedName name="USA">#REF!</definedName>
    <definedName name="USCOLOR">NA()</definedName>
    <definedName name="USCOLOR_1">"#N/A"</definedName>
    <definedName name="USCOLOR_2">"#N/A"</definedName>
    <definedName name="USCOLOR_3">"#N/A"</definedName>
    <definedName name="USCOLOR_4">"#N/A"</definedName>
    <definedName name="USCOLOR_5">"#N/A"</definedName>
    <definedName name="USCOLOR_6">"#N/A"</definedName>
    <definedName name="USCOLOR_7">"#N/A"</definedName>
    <definedName name="USCOLOR_8">NA()</definedName>
    <definedName name="USCOLORSTAT">NA()</definedName>
    <definedName name="UseToday_13">2</definedName>
    <definedName name="UseToday_14">2</definedName>
    <definedName name="UseToday_15">2</definedName>
    <definedName name="UseToday_16">3</definedName>
    <definedName name="UseToday_17">7</definedName>
    <definedName name="UseToday_18">1</definedName>
    <definedName name="UseToday_19">1</definedName>
    <definedName name="UseToday_2">13</definedName>
    <definedName name="UseToday_2_6">13</definedName>
    <definedName name="UseToday_20">4</definedName>
    <definedName name="UseToday_21">6</definedName>
    <definedName name="UseToday_22">2</definedName>
    <definedName name="UseToday_23">2</definedName>
    <definedName name="UseToday_24">3</definedName>
    <definedName name="UseToday_25">5</definedName>
    <definedName name="UseToday_26">3</definedName>
    <definedName name="UseToday_27">1</definedName>
    <definedName name="UseToday_28">1</definedName>
    <definedName name="UseToday_29">3</definedName>
    <definedName name="UseToday_30">5</definedName>
    <definedName name="UseToday_6">18</definedName>
    <definedName name="USSIZE">NA()</definedName>
    <definedName name="USSIZE_1">"#N/A"</definedName>
    <definedName name="USSIZE_2">NA()</definedName>
    <definedName name="USSIZE2">NA()</definedName>
    <definedName name="USSIZE2_1">"#N/A"</definedName>
    <definedName name="USSIZE2_2">"#N/A"</definedName>
    <definedName name="USSIZE2_3">"#N/A"</definedName>
    <definedName name="USSIZE2_4">"#N/A"</definedName>
    <definedName name="USSIZE2_5">"#N/A"</definedName>
    <definedName name="USSIZE2_6">"#N/A"</definedName>
    <definedName name="USSIZE2_7">"#N/A"</definedName>
    <definedName name="USSIZE2_8">NA()</definedName>
    <definedName name="USSTYLE">NA()</definedName>
    <definedName name="USSTYLE_1">"#N/A"</definedName>
    <definedName name="USSTYLE_2">"#N/A"</definedName>
    <definedName name="USSTYLE_3">"#N/A"</definedName>
    <definedName name="USSTYLE_4">"#N/A"</definedName>
    <definedName name="USSTYLE_5">"#N/A"</definedName>
    <definedName name="USSTYLE_6">"#N/A"</definedName>
    <definedName name="USSTYLE_7">"#N/A"</definedName>
    <definedName name="USSTYLE_8">NA()</definedName>
    <definedName name="VISA" localSheetId="1">SUM(IF(#REF!=STD_1,IF(#REF!=0,IF(CT_Q=0,1,CT_Q)*SZ_17,IF(#REF!=STD_2,IF(CT_Q=0,1,CT_Q)*SZ_17))))</definedName>
    <definedName name="VISA" localSheetId="3">SUM(IF(#REF!=STD_1,IF(#REF!=0,IF(CT_Q=0,1,CT_Q)*SZ_17,IF(#REF!=STD_2,IF(CT_Q=0,1,CT_Q)*SZ_17))))</definedName>
    <definedName name="VISA">SUM(IF(#REF!=STD_1,IF(#REF!=0,IF(CT_Q=0,1,CT_Q)*SZ_17,IF(#REF!=STD_2,IF(CT_Q=0,1,CT_Q)*SZ_17))))</definedName>
    <definedName name="WEEKS_1">"#N/A"</definedName>
    <definedName name="WEEKS_2">NA()</definedName>
    <definedName name="xxxCLabel1.1.Prompt">0</definedName>
    <definedName name="xxxCLabel1.10.Prompt">0</definedName>
    <definedName name="xxxCLabel1.11.Prompt">0</definedName>
    <definedName name="xxxCLabel1.12.Prompt">0</definedName>
    <definedName name="xxxCLabel1.13.Prompt">0</definedName>
    <definedName name="xxxCLabel1.2.Prompt">0</definedName>
    <definedName name="xxxCLabel1.3.Prompt">0</definedName>
    <definedName name="xxxCLabel1.4.Prompt">0</definedName>
    <definedName name="xxxCLabel1.5.Prompt">0</definedName>
    <definedName name="xxxCLabel1.6.Prompt">0</definedName>
    <definedName name="xxxCLabel1.7.Prompt">0</definedName>
    <definedName name="xxxCLabel1.8.Prompt">0</definedName>
    <definedName name="xxxCLabel1.9.Prompt">0</definedName>
    <definedName name="xxxColHeader1bx">0</definedName>
    <definedName name="xxxColHeader1by">11</definedName>
    <definedName name="xxxColHeader1ex">0</definedName>
    <definedName name="xxxColHeader1ey">11</definedName>
    <definedName name="xxxColLabels1bx">1</definedName>
    <definedName name="xxxColLabels1by">11</definedName>
    <definedName name="xxxColLabels1ex">13</definedName>
    <definedName name="xxxColLabels1ey">11</definedName>
    <definedName name="xxxCommon1DimValue1.1">"'6500"</definedName>
    <definedName name="xxxCommon1DimValue1.2">"G&amp;A SCHEDULE 6820-6850"</definedName>
    <definedName name="xxxCommon1DimValue2.1">"P"</definedName>
    <definedName name="xxxCommon1DimValue2.2">"PLAN"</definedName>
    <definedName name="xxxCommon1DimValue3.1">"'500007"</definedName>
    <definedName name="xxxCommon1DimValue3.2">"WOLF CREEK"</definedName>
    <definedName name="xxxCommon1DimValue4.1">"Periodic"</definedName>
    <definedName name="xxxCommon1DimValue4.2">"Periodic P&amp;L Accumulation"</definedName>
    <definedName name="xxxCommon1DimValue5.1">"'2003"</definedName>
    <definedName name="xxxCommon1DimValue5.2">2003</definedName>
    <definedName name="xxxCommon1DimValue6.1">"'0000"</definedName>
    <definedName name="xxxCommon1DimValue6.2">"Total"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DataBlock1bx">1</definedName>
    <definedName name="xxxDataBlock1by">15</definedName>
    <definedName name="xxxDataBlock1ex">13</definedName>
    <definedName name="xxxDataBlock1ey">41</definedName>
    <definedName name="xxxDownfootCols1Count">0</definedName>
    <definedName name="xxxDownfootRows1Count">1</definedName>
    <definedName name="xxxDownfootRows1Number0">41</definedName>
    <definedName name="xxxDownfootRows1Number1">29</definedName>
    <definedName name="xxxDownfootRows1Number2">30</definedName>
    <definedName name="xxxDownfootRows1Number3">36</definedName>
    <definedName name="xxxDownfootRows1Number4">41</definedName>
    <definedName name="xxxDownfootRows1Number5">47</definedName>
    <definedName name="xxxDownfootRows1Number6">42</definedName>
    <definedName name="xxxDownfootRows1Number7">50</definedName>
    <definedName name="xxxDownfootRows1Number8">61</definedName>
    <definedName name="xxxEntireArea1bx">0</definedName>
    <definedName name="xxxEntireArea1by">2</definedName>
    <definedName name="xxxEntireArea1ex">13</definedName>
    <definedName name="xxxEntireArea1ey">41</definedName>
    <definedName name="xxxGNVFileName">"G7-6830.GNV"</definedName>
    <definedName name="xxxGNVStamp">1028752954</definedName>
    <definedName name="xxxHeaderCols1Count">0</definedName>
    <definedName name="xxxHeaderRows1Count">0</definedName>
    <definedName name="xxxHeaderRows1Number0">14</definedName>
    <definedName name="xxxHeaderRows1Number1">19</definedName>
    <definedName name="xxxHeaderRows1Number2">31</definedName>
    <definedName name="xxxHeaderRows1Number3">43</definedName>
    <definedName name="xxxHeaderRows1Number4">46</definedName>
    <definedName name="xxxHeaderRows1Number5">53</definedName>
    <definedName name="xxxHeaderRows1Over0">0</definedName>
    <definedName name="xxxHeaderRows1Over1">0</definedName>
    <definedName name="xxxHeaderRows1Over2">0</definedName>
    <definedName name="xxxHeaderRows1Over3">0</definedName>
    <definedName name="xxxHeaderRows1Over4">0</definedName>
    <definedName name="xxxHeaderRows1Over5">0</definedName>
    <definedName name="xxxHeaderRows1Submit0">1</definedName>
    <definedName name="xxxHeaderRows1Submit1">1</definedName>
    <definedName name="xxxHeaderRows1Submit2">1</definedName>
    <definedName name="xxxHeaderRows1Submit3">1</definedName>
    <definedName name="xxxHeaderRows1Submit4">1</definedName>
    <definedName name="xxxHeaderRows1Submit5">1</definedName>
    <definedName name="xxxNumber_Areas">1</definedName>
    <definedName name="xxxODECols1Count">0</definedName>
    <definedName name="xxxODERows1Count">0</definedName>
    <definedName name="xxxRefreshable">1</definedName>
    <definedName name="xxxRLabel1.1.Prompt">0</definedName>
    <definedName name="xxxRLabel1.10.Prompt">0</definedName>
    <definedName name="xxxRLabel1.11.Prompt">0</definedName>
    <definedName name="xxxRLabel1.12.Prompt">0</definedName>
    <definedName name="xxxRLabel1.13.Prompt">0</definedName>
    <definedName name="xxxRLabel1.14.Prompt">0</definedName>
    <definedName name="xxxRLabel1.15.Prompt">0</definedName>
    <definedName name="xxxRLabel1.16.Prompt">0</definedName>
    <definedName name="xxxRLabel1.17.Prompt">0</definedName>
    <definedName name="xxxRLabel1.18.Prompt">0</definedName>
    <definedName name="xxxRLabel1.19.Prompt">0</definedName>
    <definedName name="xxxRLabel1.2.Prompt">0</definedName>
    <definedName name="xxxRLabel1.20.Prompt">0</definedName>
    <definedName name="xxxRLabel1.21.Prompt">0</definedName>
    <definedName name="xxxRLabel1.22.Prompt">0</definedName>
    <definedName name="xxxRLabel1.23.Prompt">0</definedName>
    <definedName name="xxxRLabel1.24.Prompt">0</definedName>
    <definedName name="xxxRLabel1.25.Prompt">0</definedName>
    <definedName name="xxxRLabel1.26.Prompt">0</definedName>
    <definedName name="xxxRLabel1.27.Prompt">0</definedName>
    <definedName name="xxxRLabel1.28.Prompt">0</definedName>
    <definedName name="xxxRLabel1.29.Prompt">0</definedName>
    <definedName name="xxxRLabel1.3.Prompt">0</definedName>
    <definedName name="xxxRLabel1.30.Prompt">0</definedName>
    <definedName name="xxxRLabel1.31.Prompt">0</definedName>
    <definedName name="xxxRLabel1.32.Prompt">0</definedName>
    <definedName name="xxxRLabel1.33.Prompt">0</definedName>
    <definedName name="xxxRLabel1.34.Prompt">0</definedName>
    <definedName name="xxxRLabel1.35.Prompt">0</definedName>
    <definedName name="xxxRLabel1.36.Prompt">0</definedName>
    <definedName name="xxxRLabel1.37.Prompt">0</definedName>
    <definedName name="xxxRLabel1.38.Prompt">0</definedName>
    <definedName name="xxxRLabel1.39.Prompt">0</definedName>
    <definedName name="xxxRLabel1.4.Prompt">0</definedName>
    <definedName name="xxxRLabel1.40.Prompt">0</definedName>
    <definedName name="xxxRLabel1.41.Prompt">0</definedName>
    <definedName name="xxxRLabel1.42.Prompt">0</definedName>
    <definedName name="xxxRLabel1.43.Prompt">0</definedName>
    <definedName name="xxxRLabel1.44.Prompt">0</definedName>
    <definedName name="xxxRLabel1.45.Prompt">0</definedName>
    <definedName name="xxxRLabel1.46.Prompt">0</definedName>
    <definedName name="xxxRLabel1.47.Prompt">0</definedName>
    <definedName name="xxxRLabel1.48.Prompt">0</definedName>
    <definedName name="xxxRLabel1.49.Prompt">0</definedName>
    <definedName name="xxxRLabel1.5.Prompt">0</definedName>
    <definedName name="xxxRLabel1.6.Prompt">0</definedName>
    <definedName name="xxxRLabel1.7.Prompt">0</definedName>
    <definedName name="xxxRLabel1.8.Prompt">0</definedName>
    <definedName name="xxxRLabel1.9.Prompt">0</definedName>
    <definedName name="xxxRowHeader1bx">0</definedName>
    <definedName name="xxxRowHeader1by">13</definedName>
    <definedName name="xxxRowHeader1ex">0</definedName>
    <definedName name="xxxRowHeader1ey">13</definedName>
    <definedName name="xxxRowLabels1bx">0</definedName>
    <definedName name="xxxRowLabels1by">15</definedName>
    <definedName name="xxxRowLabels1ex">0</definedName>
    <definedName name="xxxRowLabels1ey">41</definedName>
    <definedName name="xxxSubmittable">1</definedName>
    <definedName name="xxxUDCols1Count">1</definedName>
    <definedName name="xxxUDCols1Number0">1</definedName>
    <definedName name="xxxUDCols1Over0">0</definedName>
    <definedName name="xxxUDCols1Submit0">1</definedName>
    <definedName name="xxxUDRows1Count">0</definedName>
    <definedName name="xxxWorksheet_Name">"Sheet1"</definedName>
    <definedName name="YATI">#REF!</definedName>
    <definedName name="YTH">[15]Validation:metrics!$A$400:$A$427</definedName>
    <definedName name="z">#REF!</definedName>
    <definedName name="ZQ">#REF!</definedName>
    <definedName name="シート選択見だし">"ラベル 5"</definedName>
    <definedName name="一覧２">NA()</definedName>
    <definedName name="更新11">NA()</definedName>
    <definedName name="更新2">NA()</definedName>
    <definedName name="更新3">NA()</definedName>
    <definedName name="更新4">NA()</definedName>
    <definedName name="更新7">NA()</definedName>
    <definedName name="更新結果1">NA()</definedName>
    <definedName name="更新結果12">NA()</definedName>
    <definedName name="更新結果13">NA()</definedName>
    <definedName name="更新結果16">NA()</definedName>
    <definedName name="更新結果17">NA()</definedName>
    <definedName name="更新結果18">NA()</definedName>
    <definedName name="更新結果19">NA()</definedName>
    <definedName name="更新結果22">NA()</definedName>
    <definedName name="更新結果25">NA()</definedName>
    <definedName name="更新結果27">NA()</definedName>
    <definedName name="更新結果29">NA()</definedName>
    <definedName name="更新結果3">NA()</definedName>
    <definedName name="更新結果30">NA()</definedName>
    <definedName name="更新結果4">NA()</definedName>
    <definedName name="更新結果5">NA()</definedName>
    <definedName name="更新結果8">NA()</definedName>
    <definedName name="汎用">NA()</definedName>
    <definedName name="登録">NA()</definedName>
    <definedName name="登録11">NA()</definedName>
    <definedName name="登録2">NA()</definedName>
    <definedName name="登録3">NA()</definedName>
    <definedName name="登録4">NA()</definedName>
    <definedName name="登録7">NA()</definedName>
    <definedName name="登録結果1">NA()</definedName>
    <definedName name="登録結果11">NA()</definedName>
    <definedName name="登録結果3">NA()</definedName>
    <definedName name="登録結果4">NA()</definedName>
    <definedName name="登録結果5">NA()</definedName>
    <definedName name="登録結果7">NA()</definedName>
    <definedName name="計算">NA()</definedName>
  </definedNames>
  <calcPr calcId="181029" iterateDelta="1E-4"/>
  <extLst>
    <ext uri="GoogleSheetsCustomDataVersion2">
      <go:sheetsCustomData xmlns:go="http://customooxmlschemas.google.com/" r:id="rId24" roundtripDataChecksum="Q53R1hVjnSOqxoQfg+9wyU+pbUa41r28Ambt6LB0iFQ="/>
    </ext>
  </extLst>
</workbook>
</file>

<file path=xl/calcChain.xml><?xml version="1.0" encoding="utf-8"?>
<calcChain xmlns="http://schemas.openxmlformats.org/spreadsheetml/2006/main">
  <c r="L33" i="11" l="1"/>
  <c r="L32" i="11"/>
  <c r="L31" i="11"/>
  <c r="L30" i="11"/>
  <c r="L29" i="11"/>
  <c r="L28" i="11"/>
  <c r="L39" i="2"/>
  <c r="L38" i="2"/>
  <c r="L37" i="2"/>
  <c r="L36" i="2"/>
  <c r="L35" i="2"/>
  <c r="L34" i="2"/>
  <c r="L33" i="2"/>
  <c r="L32" i="2"/>
  <c r="L29" i="2"/>
  <c r="L30" i="2"/>
  <c r="L28" i="2"/>
  <c r="D73" i="13"/>
  <c r="D136" i="12"/>
  <c r="D135" i="12"/>
  <c r="D134" i="12"/>
  <c r="D72" i="13"/>
  <c r="D71" i="13"/>
  <c r="P59" i="13"/>
  <c r="P58" i="13"/>
  <c r="P57" i="13"/>
  <c r="M57" i="13"/>
  <c r="L57" i="13"/>
  <c r="K57" i="13"/>
  <c r="J57" i="13"/>
  <c r="I57" i="13"/>
  <c r="N57" i="13"/>
  <c r="L68" i="13"/>
  <c r="K68" i="13"/>
  <c r="J68" i="13"/>
  <c r="I68" i="13"/>
  <c r="H68" i="13"/>
  <c r="G68" i="13"/>
  <c r="F68" i="13"/>
  <c r="E68" i="13"/>
  <c r="D67" i="13"/>
  <c r="D66" i="13"/>
  <c r="D65" i="13"/>
  <c r="D64" i="13"/>
  <c r="D63" i="13"/>
  <c r="D62" i="13"/>
  <c r="A67" i="13"/>
  <c r="A66" i="13"/>
  <c r="A65" i="13"/>
  <c r="A64" i="13"/>
  <c r="A63" i="13"/>
  <c r="A62" i="13"/>
  <c r="H53" i="13"/>
  <c r="G53" i="13"/>
  <c r="H50" i="13"/>
  <c r="G50" i="13"/>
  <c r="H42" i="13"/>
  <c r="H35" i="13"/>
  <c r="G35" i="13"/>
  <c r="H28" i="13"/>
  <c r="H21" i="13"/>
  <c r="G21" i="13"/>
  <c r="K10" i="13"/>
  <c r="K7" i="13"/>
  <c r="K9" i="13" s="1"/>
  <c r="K6" i="13"/>
  <c r="D50" i="13" s="1"/>
  <c r="F13" i="13"/>
  <c r="F12" i="13"/>
  <c r="F11" i="13"/>
  <c r="F10" i="13"/>
  <c r="F9" i="13"/>
  <c r="F8" i="13"/>
  <c r="A4" i="13"/>
  <c r="A3" i="13"/>
  <c r="A2" i="13"/>
  <c r="A1" i="13"/>
  <c r="F94" i="12"/>
  <c r="F93" i="12"/>
  <c r="F92" i="12"/>
  <c r="F91" i="12"/>
  <c r="F90" i="12"/>
  <c r="F44" i="12"/>
  <c r="F36" i="12"/>
  <c r="N107" i="12"/>
  <c r="P109" i="12"/>
  <c r="P108" i="12"/>
  <c r="P107" i="12"/>
  <c r="M107" i="12"/>
  <c r="D129" i="12" s="1"/>
  <c r="L107" i="12"/>
  <c r="D130" i="12" s="1"/>
  <c r="K107" i="12"/>
  <c r="D128" i="12"/>
  <c r="D127" i="12"/>
  <c r="I107" i="12"/>
  <c r="N124" i="12"/>
  <c r="L124" i="12"/>
  <c r="K124" i="12"/>
  <c r="J124" i="12"/>
  <c r="I124" i="12"/>
  <c r="H124" i="12"/>
  <c r="G124" i="12"/>
  <c r="F124" i="12"/>
  <c r="E124" i="12"/>
  <c r="G61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H100" i="12"/>
  <c r="G100" i="12"/>
  <c r="H95" i="12"/>
  <c r="G95" i="12"/>
  <c r="H69" i="12"/>
  <c r="H90" i="12"/>
  <c r="H85" i="12"/>
  <c r="G85" i="12"/>
  <c r="J34" i="2"/>
  <c r="J35" i="2"/>
  <c r="H77" i="12"/>
  <c r="G69" i="12"/>
  <c r="H61" i="12"/>
  <c r="H53" i="12"/>
  <c r="G53" i="12"/>
  <c r="G37" i="12"/>
  <c r="H45" i="12"/>
  <c r="H37" i="12"/>
  <c r="H29" i="12"/>
  <c r="H21" i="12"/>
  <c r="G21" i="12"/>
  <c r="K10" i="12"/>
  <c r="K7" i="12"/>
  <c r="K9" i="12" s="1"/>
  <c r="K6" i="12"/>
  <c r="D95" i="12" s="1"/>
  <c r="F13" i="12"/>
  <c r="F12" i="12"/>
  <c r="F11" i="12"/>
  <c r="F10" i="12"/>
  <c r="F9" i="12"/>
  <c r="F8" i="12"/>
  <c r="A17" i="12"/>
  <c r="A16" i="12"/>
  <c r="A15" i="12"/>
  <c r="A14" i="12"/>
  <c r="A13" i="12"/>
  <c r="A12" i="12"/>
  <c r="A11" i="12"/>
  <c r="A10" i="12"/>
  <c r="A9" i="12"/>
  <c r="A8" i="12"/>
  <c r="A4" i="12"/>
  <c r="A3" i="12"/>
  <c r="A2" i="12"/>
  <c r="A1" i="12"/>
  <c r="N67" i="13"/>
  <c r="N66" i="13"/>
  <c r="N65" i="13"/>
  <c r="N64" i="13"/>
  <c r="N63" i="13"/>
  <c r="N62" i="13"/>
  <c r="L53" i="13"/>
  <c r="M53" i="13" s="1"/>
  <c r="K53" i="13"/>
  <c r="C53" i="13"/>
  <c r="K50" i="13"/>
  <c r="L50" i="13" s="1"/>
  <c r="M50" i="13" s="1"/>
  <c r="L46" i="13"/>
  <c r="M46" i="13" s="1"/>
  <c r="K46" i="13"/>
  <c r="L42" i="13"/>
  <c r="M42" i="13" s="1"/>
  <c r="K42" i="13"/>
  <c r="A42" i="13"/>
  <c r="A46" i="13" s="1"/>
  <c r="C46" i="13" s="1"/>
  <c r="L35" i="13"/>
  <c r="M35" i="13" s="1"/>
  <c r="K35" i="13"/>
  <c r="C35" i="13"/>
  <c r="L28" i="13"/>
  <c r="M28" i="13" s="1"/>
  <c r="K28" i="13"/>
  <c r="A28" i="13"/>
  <c r="C28" i="13" s="1"/>
  <c r="L21" i="13"/>
  <c r="M21" i="13" s="1"/>
  <c r="K21" i="13"/>
  <c r="C21" i="13"/>
  <c r="N123" i="12"/>
  <c r="N122" i="12"/>
  <c r="N121" i="12"/>
  <c r="N120" i="12"/>
  <c r="N119" i="12"/>
  <c r="N118" i="12"/>
  <c r="N117" i="12"/>
  <c r="N116" i="12"/>
  <c r="N115" i="12"/>
  <c r="N114" i="12"/>
  <c r="N113" i="12"/>
  <c r="N112" i="12"/>
  <c r="L103" i="12"/>
  <c r="M103" i="12" s="1"/>
  <c r="K103" i="12"/>
  <c r="A103" i="12"/>
  <c r="C103" i="12" s="1"/>
  <c r="L100" i="12"/>
  <c r="K100" i="12"/>
  <c r="C100" i="12"/>
  <c r="C95" i="12"/>
  <c r="K77" i="12"/>
  <c r="L77" i="12" s="1"/>
  <c r="M77" i="12" s="1"/>
  <c r="A77" i="12"/>
  <c r="C77" i="12" s="1"/>
  <c r="K69" i="12"/>
  <c r="L69" i="12" s="1"/>
  <c r="M69" i="12" s="1"/>
  <c r="C69" i="12"/>
  <c r="L65" i="12"/>
  <c r="M65" i="12" s="1"/>
  <c r="K65" i="12"/>
  <c r="L61" i="12"/>
  <c r="M61" i="12" s="1"/>
  <c r="K61" i="12"/>
  <c r="L57" i="12"/>
  <c r="M57" i="12" s="1"/>
  <c r="K57" i="12"/>
  <c r="A57" i="12"/>
  <c r="A61" i="12" s="1"/>
  <c r="L53" i="12"/>
  <c r="M53" i="12" s="1"/>
  <c r="K53" i="12"/>
  <c r="C53" i="12"/>
  <c r="L49" i="12"/>
  <c r="M49" i="12" s="1"/>
  <c r="K49" i="12"/>
  <c r="L45" i="12"/>
  <c r="M45" i="12" s="1"/>
  <c r="K45" i="12"/>
  <c r="L41" i="12"/>
  <c r="M41" i="12" s="1"/>
  <c r="K41" i="12"/>
  <c r="A41" i="12"/>
  <c r="A45" i="12" s="1"/>
  <c r="L37" i="12"/>
  <c r="M37" i="12" s="1"/>
  <c r="K37" i="12"/>
  <c r="C37" i="12"/>
  <c r="L33" i="12"/>
  <c r="M33" i="12" s="1"/>
  <c r="K33" i="12"/>
  <c r="L29" i="12"/>
  <c r="M29" i="12" s="1"/>
  <c r="K29" i="12"/>
  <c r="L25" i="12"/>
  <c r="M25" i="12" s="1"/>
  <c r="K25" i="12"/>
  <c r="A25" i="12"/>
  <c r="A29" i="12" s="1"/>
  <c r="L21" i="12"/>
  <c r="M21" i="12" s="1"/>
  <c r="K21" i="12"/>
  <c r="C21" i="12"/>
  <c r="J35" i="11"/>
  <c r="A31" i="11"/>
  <c r="A29" i="11"/>
  <c r="A32" i="11"/>
  <c r="D21" i="13" l="1"/>
  <c r="D35" i="13"/>
  <c r="D53" i="13"/>
  <c r="N68" i="13"/>
  <c r="D70" i="13" s="1"/>
  <c r="J41" i="2"/>
  <c r="D85" i="12"/>
  <c r="M100" i="12"/>
  <c r="D126" i="12"/>
  <c r="D21" i="12"/>
  <c r="D100" i="12" s="1"/>
  <c r="D37" i="12"/>
  <c r="D53" i="12"/>
  <c r="D69" i="12"/>
  <c r="C42" i="13"/>
  <c r="A33" i="12"/>
  <c r="C33" i="12" s="1"/>
  <c r="C29" i="12"/>
  <c r="A65" i="12"/>
  <c r="C65" i="12" s="1"/>
  <c r="C61" i="12"/>
  <c r="A49" i="12"/>
  <c r="C49" i="12" s="1"/>
  <c r="C45" i="12"/>
  <c r="C25" i="12"/>
  <c r="C41" i="12"/>
  <c r="C57" i="12"/>
  <c r="M42" i="2"/>
  <c r="P36" i="11"/>
  <c r="N36" i="11"/>
  <c r="N40" i="11" s="1"/>
  <c r="N41" i="11" s="1"/>
  <c r="H31" i="11"/>
  <c r="D31" i="11"/>
  <c r="D29" i="11"/>
  <c r="A28" i="11"/>
  <c r="A30" i="11" s="1"/>
  <c r="L35" i="11" l="1"/>
  <c r="A33" i="11"/>
  <c r="L31" i="2"/>
  <c r="H31" i="2"/>
  <c r="D31" i="2"/>
  <c r="D29" i="2"/>
  <c r="D55" i="2" l="1"/>
  <c r="N43" i="11"/>
  <c r="L41" i="2"/>
  <c r="A28" i="2"/>
  <c r="A30" i="2" l="1"/>
  <c r="A32" i="2" s="1"/>
  <c r="A35" i="2" s="1"/>
  <c r="A36" i="2" s="1"/>
  <c r="A38" i="2" s="1"/>
  <c r="A34" i="2"/>
  <c r="A33" i="2"/>
  <c r="A31" i="2"/>
  <c r="A37" i="2"/>
  <c r="A29" i="2"/>
  <c r="P42" i="2"/>
  <c r="N46" i="2"/>
  <c r="C55" i="6"/>
  <c r="C54" i="6"/>
  <c r="C53" i="6"/>
  <c r="C52" i="6"/>
  <c r="C51" i="6"/>
  <c r="C50" i="6"/>
  <c r="C49" i="6"/>
  <c r="C48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E35" i="6"/>
  <c r="E34" i="6"/>
  <c r="E33" i="6"/>
  <c r="A31" i="6"/>
  <c r="N88" i="6"/>
  <c r="K88" i="6"/>
  <c r="N87" i="6"/>
  <c r="K87" i="6"/>
  <c r="N86" i="6"/>
  <c r="K86" i="6"/>
  <c r="N85" i="6"/>
  <c r="K85" i="6"/>
  <c r="N84" i="6"/>
  <c r="K84" i="6"/>
  <c r="N83" i="6"/>
  <c r="K83" i="6"/>
  <c r="N82" i="6"/>
  <c r="K82" i="6"/>
  <c r="N81" i="6"/>
  <c r="K81" i="6"/>
  <c r="N80" i="6"/>
  <c r="K80" i="6"/>
  <c r="N79" i="6"/>
  <c r="K79" i="6"/>
  <c r="N78" i="6"/>
  <c r="K78" i="6"/>
  <c r="N77" i="6"/>
  <c r="K77" i="6"/>
  <c r="N76" i="6"/>
  <c r="K76" i="6"/>
  <c r="N75" i="6"/>
  <c r="K75" i="6"/>
  <c r="N74" i="6"/>
  <c r="K74" i="6"/>
  <c r="N73" i="6"/>
  <c r="K73" i="6"/>
  <c r="N72" i="6"/>
  <c r="K72" i="6"/>
  <c r="N71" i="6"/>
  <c r="K71" i="6"/>
  <c r="N70" i="6"/>
  <c r="K70" i="6"/>
  <c r="N69" i="6"/>
  <c r="K69" i="6"/>
  <c r="N68" i="6"/>
  <c r="K68" i="6"/>
  <c r="N67" i="6"/>
  <c r="K67" i="6"/>
  <c r="N66" i="6"/>
  <c r="K66" i="6"/>
  <c r="N65" i="6"/>
  <c r="K65" i="6"/>
  <c r="N64" i="6"/>
  <c r="K64" i="6"/>
  <c r="N63" i="6"/>
  <c r="K63" i="6"/>
  <c r="N62" i="6"/>
  <c r="K62" i="6"/>
  <c r="N61" i="6"/>
  <c r="K61" i="6"/>
  <c r="N60" i="6"/>
  <c r="K60" i="6"/>
  <c r="N59" i="6"/>
  <c r="K59" i="6"/>
  <c r="N58" i="6"/>
  <c r="K58" i="6"/>
  <c r="N57" i="6"/>
  <c r="K57" i="6"/>
  <c r="N56" i="6"/>
  <c r="K56" i="6"/>
  <c r="N55" i="6"/>
  <c r="K55" i="6"/>
  <c r="N54" i="6"/>
  <c r="K54" i="6"/>
  <c r="N53" i="6"/>
  <c r="K53" i="6"/>
  <c r="N52" i="6"/>
  <c r="K52" i="6"/>
  <c r="N47" i="2" l="1"/>
  <c r="P55" i="6"/>
  <c r="P78" i="6"/>
  <c r="P82" i="6"/>
  <c r="P86" i="6"/>
  <c r="P52" i="6"/>
  <c r="P88" i="6"/>
  <c r="P63" i="6"/>
  <c r="P87" i="6"/>
  <c r="P74" i="6"/>
  <c r="P68" i="6"/>
  <c r="P72" i="6"/>
  <c r="P83" i="6"/>
  <c r="P58" i="6"/>
  <c r="P85" i="6"/>
  <c r="P57" i="6"/>
  <c r="P65" i="6"/>
  <c r="P76" i="6"/>
  <c r="P80" i="6"/>
  <c r="P84" i="6"/>
  <c r="P59" i="6"/>
  <c r="P77" i="6"/>
  <c r="P53" i="6"/>
  <c r="P69" i="6"/>
  <c r="P75" i="6"/>
  <c r="P60" i="6"/>
  <c r="P66" i="6"/>
  <c r="P70" i="6"/>
  <c r="P73" i="6"/>
  <c r="P81" i="6"/>
  <c r="P61" i="6"/>
  <c r="P67" i="6"/>
  <c r="P71" i="6"/>
  <c r="P79" i="6"/>
  <c r="P56" i="6"/>
  <c r="P64" i="6"/>
  <c r="P54" i="6"/>
  <c r="P62" i="6"/>
  <c r="N49" i="2" l="1"/>
  <c r="B23" i="6"/>
  <c r="B22" i="6"/>
  <c r="B25" i="6"/>
  <c r="A106" i="6"/>
  <c r="A105" i="6"/>
  <c r="A104" i="6"/>
  <c r="A103" i="6"/>
  <c r="B24" i="6"/>
  <c r="G6" i="6"/>
  <c r="N51" i="6" l="1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M98" i="6"/>
  <c r="K98" i="6"/>
  <c r="C31" i="6"/>
  <c r="A19" i="6"/>
  <c r="A18" i="6"/>
  <c r="A17" i="6"/>
  <c r="A16" i="6"/>
  <c r="A15" i="6"/>
  <c r="A14" i="6"/>
  <c r="A13" i="6"/>
  <c r="A12" i="6"/>
  <c r="A9" i="6"/>
  <c r="A8" i="6"/>
  <c r="A7" i="6"/>
  <c r="N16" i="6"/>
  <c r="A6" i="6"/>
  <c r="K95" i="6" l="1"/>
  <c r="P47" i="6"/>
  <c r="P46" i="6"/>
  <c r="P45" i="6"/>
  <c r="P37" i="6"/>
  <c r="P40" i="6"/>
  <c r="P41" i="6"/>
  <c r="P43" i="6"/>
  <c r="P39" i="6"/>
  <c r="P44" i="6"/>
  <c r="P35" i="6"/>
  <c r="P36" i="6"/>
  <c r="P51" i="6"/>
  <c r="P38" i="6"/>
  <c r="P33" i="6"/>
  <c r="P48" i="6"/>
  <c r="P49" i="6"/>
  <c r="P34" i="6"/>
  <c r="P42" i="6"/>
  <c r="P50" i="6"/>
  <c r="P95" i="6" l="1"/>
  <c r="P98" i="6" s="1"/>
  <c r="A39" i="2" l="1"/>
</calcChain>
</file>

<file path=xl/sharedStrings.xml><?xml version="1.0" encoding="utf-8"?>
<sst xmlns="http://schemas.openxmlformats.org/spreadsheetml/2006/main" count="1103" uniqueCount="459">
  <si>
    <t>HTS Code</t>
  </si>
  <si>
    <t>Knit/Woven</t>
  </si>
  <si>
    <t xml:space="preserve">Gender </t>
  </si>
  <si>
    <t>Category</t>
  </si>
  <si>
    <t>Composition</t>
  </si>
  <si>
    <t>Mens</t>
  </si>
  <si>
    <t>Womens</t>
  </si>
  <si>
    <t>Pants</t>
  </si>
  <si>
    <t>PO #</t>
  </si>
  <si>
    <t>Invoice #</t>
  </si>
  <si>
    <t>Date</t>
  </si>
  <si>
    <t>Shipping Mode</t>
  </si>
  <si>
    <t>Shipment #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</si>
  <si>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</si>
  <si>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</si>
  <si>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</si>
  <si>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</si>
  <si>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</si>
  <si>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</si>
  <si>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</si>
  <si>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</si>
  <si>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230-1275 Venables St.</t>
  </si>
  <si>
    <t>Vancouver, BC V6A 2E4</t>
  </si>
  <si>
    <t>PO#</t>
  </si>
  <si>
    <t>SKU</t>
  </si>
  <si>
    <t>UPC</t>
  </si>
  <si>
    <t>Style Description</t>
  </si>
  <si>
    <t>Color Description</t>
  </si>
  <si>
    <t>Quantity</t>
  </si>
  <si>
    <t>Unit Price USD</t>
  </si>
  <si>
    <t>Total USD</t>
  </si>
  <si>
    <t>Additional Remarks</t>
  </si>
  <si>
    <t>Tentree Commercial Invoice Instructions</t>
  </si>
  <si>
    <t xml:space="preserve">Fill in PO number </t>
  </si>
  <si>
    <t>SKU#</t>
  </si>
  <si>
    <t>Use the full SKU number: style-color-size (TCM6418-6010-L)</t>
  </si>
  <si>
    <t>UPC#</t>
  </si>
  <si>
    <t>Use the corresponding UPC code related to the full SKU</t>
  </si>
  <si>
    <t>Indicate if the item is Knitten or Woven, if neither insert "No"</t>
  </si>
  <si>
    <t>Written style description</t>
  </si>
  <si>
    <t>Written color description</t>
  </si>
  <si>
    <t xml:space="preserve">Choose from Dropdown </t>
  </si>
  <si>
    <t>Choose from Dropdown (Men/Woman/Ungendered)</t>
  </si>
  <si>
    <t>Written composition</t>
  </si>
  <si>
    <t>Fill in HTS Code</t>
  </si>
  <si>
    <t xml:space="preserve">Quantity </t>
  </si>
  <si>
    <t xml:space="preserve">Unit Price </t>
  </si>
  <si>
    <t>Unit Price</t>
  </si>
  <si>
    <t>Quantity *Unit Price</t>
  </si>
  <si>
    <t>CONTINENT 8 PTE LTD</t>
  </si>
  <si>
    <t xml:space="preserve">300 TAMPINES AVENUE 5, #. 09-02, </t>
  </si>
  <si>
    <t>INCOME AT TAMPINES JUNCTION SINGAPORE 529653</t>
  </si>
  <si>
    <t>AT TAMPINES JUNCTION SINGAPORE 529653</t>
  </si>
  <si>
    <t>INDONESIA</t>
  </si>
  <si>
    <t>Manufacturer :</t>
  </si>
  <si>
    <t>PT. MASTERINDO JAYA ABADI</t>
  </si>
  <si>
    <t>JL. SOEKARNO HATTA NO. 24</t>
  </si>
  <si>
    <t>BANDUNG 40212, INDONESIA 50512</t>
  </si>
  <si>
    <t>TAX ID#. 001.280.264.1-441.000</t>
  </si>
  <si>
    <t>JAKARTA, INDONESIA</t>
  </si>
  <si>
    <t>PACKING LIST</t>
  </si>
  <si>
    <t>Invoice NO.</t>
  </si>
  <si>
    <t>S/C  NO.</t>
  </si>
  <si>
    <t>-</t>
  </si>
  <si>
    <t>Packinglist No.</t>
  </si>
  <si>
    <t>DATE:</t>
  </si>
  <si>
    <t xml:space="preserve"> </t>
  </si>
  <si>
    <t>PAGE:</t>
  </si>
  <si>
    <t>CTN #</t>
  </si>
  <si>
    <t>TOTAL PCS/CTN</t>
  </si>
  <si>
    <t xml:space="preserve">  N/W (Kgs)</t>
  </si>
  <si>
    <t xml:space="preserve">  G/W (Kgs)</t>
  </si>
  <si>
    <t>MEASURE (CM)</t>
  </si>
  <si>
    <t>TOTAL</t>
  </si>
  <si>
    <t>SUMMARY</t>
  </si>
  <si>
    <t>LXL</t>
  </si>
  <si>
    <t>ONE</t>
  </si>
  <si>
    <t>Style #</t>
  </si>
  <si>
    <t>Color #</t>
  </si>
  <si>
    <t>XS</t>
  </si>
  <si>
    <t>S</t>
  </si>
  <si>
    <t>M</t>
  </si>
  <si>
    <t>L</t>
  </si>
  <si>
    <t>XL</t>
  </si>
  <si>
    <t>XXL</t>
  </si>
  <si>
    <t>No of Units     :</t>
  </si>
  <si>
    <t>PCS</t>
  </si>
  <si>
    <t>No of cartons :</t>
  </si>
  <si>
    <t>CTN</t>
  </si>
  <si>
    <t>CBM</t>
  </si>
  <si>
    <t>Gross Weight :</t>
  </si>
  <si>
    <t>KGS</t>
  </si>
  <si>
    <t>Net Weight    :</t>
  </si>
  <si>
    <t>ETD Date</t>
  </si>
  <si>
    <t>Revenue Canada</t>
  </si>
  <si>
    <t>Revenu Canada</t>
  </si>
  <si>
    <t>CANADA CUSTOMS INVOICE</t>
  </si>
  <si>
    <t>Page</t>
  </si>
  <si>
    <t>Customs and Excise</t>
  </si>
  <si>
    <t>Douanes et Accise</t>
  </si>
  <si>
    <t>FACTURE DES DOUANES CANADIANNES</t>
  </si>
  <si>
    <t>of de1</t>
  </si>
  <si>
    <t>1. Vendor (Name and Address)/Vendeur (Nom et adresse)</t>
  </si>
  <si>
    <t>2. Date of Direct Shipment to Canada / Date d'expedition directe vers le Canada</t>
  </si>
  <si>
    <t>3. Other References (Include Purchaser's Order No.)</t>
  </si>
  <si>
    <t xml:space="preserve">    Autres references (inclure le no de commande de l'acheteur)</t>
  </si>
  <si>
    <t>4. Consignee (Name and Address)/Destinataire (Nom et adresse)</t>
  </si>
  <si>
    <t>5. Purchaser's Name and Address (if other than Consignee)</t>
  </si>
  <si>
    <t xml:space="preserve">    Nom et adresse de l'acheteur (S'il differe du destinataire)</t>
  </si>
  <si>
    <t>6. Country of Transhipment / Pays de transbordement</t>
  </si>
  <si>
    <t>7. Country of Origin of Goods</t>
  </si>
  <si>
    <t>PACKINGSLIP NUMBER</t>
  </si>
  <si>
    <t xml:space="preserve">    Pays d'origine des marchandises</t>
  </si>
  <si>
    <t>PAYMENT TERM</t>
  </si>
  <si>
    <t>TT AFTER SIGHT</t>
  </si>
  <si>
    <t>8. Transportation : Give Mode and Place of Direct Shipment to Canada</t>
  </si>
  <si>
    <t>9. Conditions of Sale and Terms of Payment</t>
  </si>
  <si>
    <t>Transport : Preciser mode et point d'expedition directe vers le Canada</t>
  </si>
  <si>
    <t xml:space="preserve">     (i.e. Sale, Consignment Shipment, Leased Goods, etc.)</t>
  </si>
  <si>
    <t>SHIPPED BY:</t>
  </si>
  <si>
    <t xml:space="preserve">     Conditions de vente et modalites de paiement</t>
  </si>
  <si>
    <t xml:space="preserve">FROM        : </t>
  </si>
  <si>
    <t xml:space="preserve">     (p. ex. Vente, expedition en consignation, location de marchandises, etc.)</t>
  </si>
  <si>
    <t xml:space="preserve">TO             :  </t>
  </si>
  <si>
    <t xml:space="preserve">DATE         :  </t>
  </si>
  <si>
    <t>10. Currency of Settlement / Devises du paiement</t>
  </si>
  <si>
    <t>USD</t>
  </si>
  <si>
    <t>11. No of</t>
  </si>
  <si>
    <t>12. Spesification of Commodities (Kind of Packages, Marks and Numbers, General</t>
  </si>
  <si>
    <t>13. Quantity</t>
  </si>
  <si>
    <t>Selling Price / Prix de vente</t>
  </si>
  <si>
    <t xml:space="preserve">      Pkgs</t>
  </si>
  <si>
    <t xml:space="preserve">       Description and Characteristics, I.e. Grade, Quality)</t>
  </si>
  <si>
    <t>(State Unit)</t>
  </si>
  <si>
    <t>14. Unit Price</t>
  </si>
  <si>
    <t>15. Total</t>
  </si>
  <si>
    <t xml:space="preserve">      Nbre de</t>
  </si>
  <si>
    <t xml:space="preserve">       Designation des articles (Nature des colis, marques et numeros, description generale</t>
  </si>
  <si>
    <t>Quantite</t>
  </si>
  <si>
    <t>Prix unitaire</t>
  </si>
  <si>
    <t xml:space="preserve">      colis</t>
  </si>
  <si>
    <t xml:space="preserve">       et caracteristiques, p. ex. Classe, qualite)</t>
  </si>
  <si>
    <t>(Preciser l'unite)</t>
  </si>
  <si>
    <t>PO#.</t>
  </si>
  <si>
    <t>HS CODE</t>
  </si>
  <si>
    <t>DESCRIPTION</t>
  </si>
  <si>
    <t>CATAGORY</t>
  </si>
  <si>
    <t>GENDER</t>
  </si>
  <si>
    <t>COMPOSITION</t>
  </si>
  <si>
    <t>UNITED OVERSEAS BANK</t>
  </si>
  <si>
    <t>80 RAFFLES PLACE, UOB PLAZA, SINGAPORE 048624</t>
  </si>
  <si>
    <t>Swift: UOVBSGSGXXX</t>
  </si>
  <si>
    <t>Acccount#: 450-902-2652 (USD)</t>
  </si>
  <si>
    <t>18. If any of fields 1 to 17 are included on an attached commercial invoice, check this box</t>
  </si>
  <si>
    <t>16. Total Weight / Poids total</t>
  </si>
  <si>
    <t>17. Invoice Total</t>
  </si>
  <si>
    <t xml:space="preserve">       Si tout renseignement relativement aux zones 1 a 17 figure sur une ou des factures</t>
  </si>
  <si>
    <t>Net</t>
  </si>
  <si>
    <t>Gross / Brut</t>
  </si>
  <si>
    <t xml:space="preserve">       Total de la facture</t>
  </si>
  <si>
    <t xml:space="preserve">       commerciales ci-attachees, cocher cette case</t>
  </si>
  <si>
    <t xml:space="preserve">       Commercial Invoice No. / No de la facture commerciale</t>
  </si>
  <si>
    <t>19. Exporter's Name and Address (If other than Vendor)</t>
  </si>
  <si>
    <t>20. Originator (Name and Address) / Expediteur d'origine (Nom et adresse)</t>
  </si>
  <si>
    <t xml:space="preserve">       Nom et adresse de l'exportateur (s'il differe du vendeur)</t>
  </si>
  <si>
    <t>21. Departmental Ruling (If applicable) / Decision du Ministre (s'il y a lieu)</t>
  </si>
  <si>
    <t>22. If fields 23 to 25 are not applicable, check this box</t>
  </si>
  <si>
    <t xml:space="preserve">      FILE NO. 7465-2(LD), V5006-1"</t>
  </si>
  <si>
    <t xml:space="preserve">       si les zones 23 a 25 sont sans object, cocher cette case</t>
  </si>
  <si>
    <t>X</t>
  </si>
  <si>
    <t>23. If included in field 17 indicate amount :</t>
  </si>
  <si>
    <t>25. Check (if applicable) :</t>
  </si>
  <si>
    <t xml:space="preserve">       Si compris dans le total a la zone 17, preciser :</t>
  </si>
  <si>
    <t>Cocher (s'il y a lieu) :</t>
  </si>
  <si>
    <t xml:space="preserve">  (I) Transportation charges, expenses and insurance</t>
  </si>
  <si>
    <t xml:space="preserve"> (i) Royalty payments or subsequent proceeds are</t>
  </si>
  <si>
    <t xml:space="preserve">       from the place of direct shipment to Canada</t>
  </si>
  <si>
    <t xml:space="preserve">      paid or payable by the purchaser</t>
  </si>
  <si>
    <t xml:space="preserve">       Les frais de transport, depenses at assurances</t>
  </si>
  <si>
    <t xml:space="preserve">      Des redevances ou produits ont ete ou seront</t>
  </si>
  <si>
    <t xml:space="preserve">       a partir du point d'expedition directe vers le</t>
  </si>
  <si>
    <t xml:space="preserve">      verses par l'acheteur</t>
  </si>
  <si>
    <t xml:space="preserve">       Canada</t>
  </si>
  <si>
    <t xml:space="preserve"> (ii) Costs for construction, erection and assembly</t>
  </si>
  <si>
    <t xml:space="preserve">       incurred after importation into Canada</t>
  </si>
  <si>
    <t>(ii) The purchaser has supplied goods or services</t>
  </si>
  <si>
    <t xml:space="preserve">       Les couts de construction, d'erection et</t>
  </si>
  <si>
    <t xml:space="preserve">      for use in the production of these goods</t>
  </si>
  <si>
    <t xml:space="preserve">       d'assemblage apres importation au Canada</t>
  </si>
  <si>
    <t xml:space="preserve">      L'acheteur a fourni des marchandises ou des</t>
  </si>
  <si>
    <t xml:space="preserve">      services pour la production des marchandises</t>
  </si>
  <si>
    <t>(iii) Export packing</t>
  </si>
  <si>
    <t xml:space="preserve">       Le cout de l'emballage d'exportation</t>
  </si>
  <si>
    <t>DEPARTMENT OF NATIONAL REVENUE - CUSTOMS AND EXCISE</t>
  </si>
  <si>
    <t>MINISTRE DU REVENU NATIONAL - DOUANES ET ACCISE</t>
  </si>
  <si>
    <t>90% Recycled Polyester, 10% Spandex</t>
  </si>
  <si>
    <t>Woven</t>
  </si>
  <si>
    <t>W Yaletown Skirt</t>
  </si>
  <si>
    <t>100% ECOVERO -Sustainable Viscose by Lenzing</t>
  </si>
  <si>
    <t>Tentree International Canada</t>
  </si>
  <si>
    <t>Canada</t>
  </si>
  <si>
    <t xml:space="preserve">+7789897887 </t>
  </si>
  <si>
    <t>logstics@tentree.com</t>
  </si>
  <si>
    <t>SM</t>
  </si>
  <si>
    <t xml:space="preserve">80 RAFFLES PLACE, UOB PLAZA, SINGAPORE </t>
  </si>
  <si>
    <t>Acccount#: 4509022652 (USD)</t>
  </si>
  <si>
    <t>STYLE-COLOR</t>
  </si>
  <si>
    <t xml:space="preserve">Tentree c/o NRI Distribution Inc. </t>
  </si>
  <si>
    <t>9988 Redwood Avenue</t>
  </si>
  <si>
    <t>LH Building</t>
  </si>
  <si>
    <t>Fontana, California</t>
  </si>
  <si>
    <t>1.323.345.6456</t>
  </si>
  <si>
    <t>92335, United States</t>
  </si>
  <si>
    <t>Contact: Yarumi Padilla</t>
  </si>
  <si>
    <t>yarumi.padilla@nri-distribution.com</t>
  </si>
  <si>
    <t>Carrier Appointment Email</t>
  </si>
  <si>
    <t>appt-LH@nri distribution.com</t>
  </si>
  <si>
    <t xml:space="preserve">PO # </t>
  </si>
  <si>
    <t>LOS ANGLES, USA</t>
  </si>
  <si>
    <t xml:space="preserve">Say Tn Words Total US Dollars: </t>
  </si>
  <si>
    <t>PO04774</t>
  </si>
  <si>
    <t>022C8P2605AW26</t>
  </si>
  <si>
    <t>SEA (INCRES 072N)</t>
  </si>
  <si>
    <t>LGINBSHIP000798</t>
  </si>
  <si>
    <t>TCW6649-6303</t>
  </si>
  <si>
    <t>W Flint Pant</t>
  </si>
  <si>
    <t>Knit</t>
  </si>
  <si>
    <t>Ashwood</t>
  </si>
  <si>
    <t>53% Organic Cotton, 45% Recycled Polyester, 2% Spandex</t>
  </si>
  <si>
    <t>6104.62.62.20</t>
  </si>
  <si>
    <t>Meteorite Black</t>
  </si>
  <si>
    <t>TCW6649-0164</t>
  </si>
  <si>
    <t>TCM6684-6303</t>
  </si>
  <si>
    <t>TCM6684-0164</t>
  </si>
  <si>
    <t>M Clark Pant</t>
  </si>
  <si>
    <t>6103.42.62.20</t>
  </si>
  <si>
    <t>TCW6648-6303</t>
  </si>
  <si>
    <t>TCW6648-0164</t>
  </si>
  <si>
    <t>W Breton Pant</t>
  </si>
  <si>
    <t>6204.63.62.10</t>
  </si>
  <si>
    <t>TCM6685-6289</t>
  </si>
  <si>
    <t>TCM6685-0164</t>
  </si>
  <si>
    <t>M Cameron Pant</t>
  </si>
  <si>
    <t>Cedar Bark</t>
  </si>
  <si>
    <t>6203.43.62.10</t>
  </si>
  <si>
    <t>TCW7113-6303</t>
  </si>
  <si>
    <t>TCW7113-0164</t>
  </si>
  <si>
    <t>W Cowen Pant</t>
  </si>
  <si>
    <t>TCM6797-0164</t>
  </si>
  <si>
    <t>M Simcoe Pant</t>
  </si>
  <si>
    <t>TCW5674-6391</t>
  </si>
  <si>
    <t>PO04786</t>
  </si>
  <si>
    <t>022C8P2605AW26.A</t>
  </si>
  <si>
    <t>Meteorite Black/Meadowland Ditsy</t>
  </si>
  <si>
    <t>TOTAL CTN</t>
  </si>
  <si>
    <t>TOTAL PCS</t>
  </si>
  <si>
    <t>MEASURE (M3)</t>
  </si>
  <si>
    <t>TCW6649-6303-2</t>
  </si>
  <si>
    <t>80 X 44 X 25</t>
  </si>
  <si>
    <t>TCW6649-6303-4</t>
  </si>
  <si>
    <t>TCW6649-6303-6</t>
  </si>
  <si>
    <t>TCW6649-6303-8</t>
  </si>
  <si>
    <t>TCW6649-6303-10</t>
  </si>
  <si>
    <t>80 X 44 X 15</t>
  </si>
  <si>
    <t>TCW6649-6303-12</t>
  </si>
  <si>
    <t>TCW6649-6303-14</t>
  </si>
  <si>
    <t>TCW6649-6303-16</t>
  </si>
  <si>
    <t>TCW6649-0164-2</t>
  </si>
  <si>
    <t>TCW6649-0164-4</t>
  </si>
  <si>
    <t>TCW6649-0164-6</t>
  </si>
  <si>
    <t>TCW6649-0164-8</t>
  </si>
  <si>
    <t>TCW6649-0164-10</t>
  </si>
  <si>
    <t>TCW6649-0164-12</t>
  </si>
  <si>
    <t>TCW6649-0164-14</t>
  </si>
  <si>
    <t>TCW6649-0164-16</t>
  </si>
  <si>
    <t>TCM6684-6303-30</t>
  </si>
  <si>
    <t>TCM6684-6303-31</t>
  </si>
  <si>
    <t>TCM6684-6303-32</t>
  </si>
  <si>
    <t>TCM6684-6303-33</t>
  </si>
  <si>
    <t>TCM6684-6303-34</t>
  </si>
  <si>
    <t>TCM6684-6303-36</t>
  </si>
  <si>
    <t>TCM6684-6303-38</t>
  </si>
  <si>
    <t>TCM6684-6303-40</t>
  </si>
  <si>
    <t>TCM6684-0164-30</t>
  </si>
  <si>
    <t>TCM6684-0164-31</t>
  </si>
  <si>
    <t>TCM6684-0164-32</t>
  </si>
  <si>
    <t>TCM6684-0164-33</t>
  </si>
  <si>
    <t>TCM6684-0164-34</t>
  </si>
  <si>
    <t>TCM6684-0164-36</t>
  </si>
  <si>
    <t>TCM6684-0164-38</t>
  </si>
  <si>
    <t>TCM6684-0164-40</t>
  </si>
  <si>
    <t>TCW6648-6303-2</t>
  </si>
  <si>
    <t>TCW6648-6303-4</t>
  </si>
  <si>
    <t>TCW6648-6303-6</t>
  </si>
  <si>
    <t>TCW6648-6303-8</t>
  </si>
  <si>
    <t>TCW6648-6303-10</t>
  </si>
  <si>
    <t>TCW6648-6303-12</t>
  </si>
  <si>
    <t>TCW6648-6303-14</t>
  </si>
  <si>
    <t>TCW6648-6303-16</t>
  </si>
  <si>
    <t>TCW6648-0164-2</t>
  </si>
  <si>
    <t>TCW6648-0164-4</t>
  </si>
  <si>
    <t>TCW6648-0164-6</t>
  </si>
  <si>
    <t>TCW6648-0164-8</t>
  </si>
  <si>
    <t>TCW6648-0164-10</t>
  </si>
  <si>
    <t>TCW6648-0164-12</t>
  </si>
  <si>
    <t>TCW6648-0164-14</t>
  </si>
  <si>
    <t>TCW6648-0164-16</t>
  </si>
  <si>
    <t>TCM6685-0164-30</t>
  </si>
  <si>
    <t>TCM6685-0164-31</t>
  </si>
  <si>
    <t>TCM6685-0164-32</t>
  </si>
  <si>
    <t>TCM6685-0164-33</t>
  </si>
  <si>
    <t>TCM6685-0164-34</t>
  </si>
  <si>
    <t>XK</t>
  </si>
  <si>
    <t>TCM6685-0164-36</t>
  </si>
  <si>
    <t>TCM6685-0164-38</t>
  </si>
  <si>
    <t>TCM6685-0164-40</t>
  </si>
  <si>
    <t>TCM6685-6289-30</t>
  </si>
  <si>
    <t>TCM6685-6289-31</t>
  </si>
  <si>
    <t>TCM6685-6289-32</t>
  </si>
  <si>
    <t>TCM6685-6289-33</t>
  </si>
  <si>
    <t>TCM6685-6289-34</t>
  </si>
  <si>
    <t>TCM6685-6289-36</t>
  </si>
  <si>
    <t>TCM6685-6289-38</t>
  </si>
  <si>
    <t>TCM6685-6289-40</t>
  </si>
  <si>
    <t>TCM7113-0164 -S</t>
  </si>
  <si>
    <t>TCM7113-0164 -M</t>
  </si>
  <si>
    <t>TCM7113-0164 -L</t>
  </si>
  <si>
    <t>TCM7113-0164 -XL</t>
  </si>
  <si>
    <t>TCM6797-0164 -L</t>
  </si>
  <si>
    <t>TCM6797-0164 -M</t>
  </si>
  <si>
    <t>TCM6797-0164 -S</t>
  </si>
  <si>
    <t>TCM6797-0164 -XL</t>
  </si>
  <si>
    <t>TCM6797-0164 -XXL</t>
  </si>
  <si>
    <t>TCW5674-6391-XS</t>
  </si>
  <si>
    <t>TCW5674-6391-S</t>
  </si>
  <si>
    <t>TCW5674-6391-M</t>
  </si>
  <si>
    <t>TCW5674-6391-L</t>
  </si>
  <si>
    <t>TCW5674-6391-XL</t>
  </si>
  <si>
    <t>GRAND TOTAL</t>
  </si>
  <si>
    <t>TOTAL SUMMARY</t>
  </si>
  <si>
    <t>Measurement :</t>
  </si>
  <si>
    <t>TCM6797-6289-L</t>
  </si>
  <si>
    <t>TCM6797- 6289-M</t>
  </si>
  <si>
    <t>TCM6797-6289-XL</t>
  </si>
  <si>
    <t>TCM7113-6303 -XS</t>
  </si>
  <si>
    <t>TCM7113-6303 -S</t>
  </si>
  <si>
    <t>TCM7113-6303-M</t>
  </si>
  <si>
    <t>TCM7113-6303 -L</t>
  </si>
  <si>
    <t>TCM7113-6303 -XL</t>
  </si>
  <si>
    <t>TCM7113-0164-XS</t>
  </si>
  <si>
    <t xml:space="preserve">80 X 44 X 25 </t>
  </si>
  <si>
    <t>661814875972</t>
  </si>
  <si>
    <t>10</t>
  </si>
  <si>
    <t>661814875958</t>
  </si>
  <si>
    <t>12</t>
  </si>
  <si>
    <t>661814875934</t>
  </si>
  <si>
    <t>14</t>
  </si>
  <si>
    <t>661814875910</t>
  </si>
  <si>
    <t>16</t>
  </si>
  <si>
    <t>661814875897</t>
  </si>
  <si>
    <t>2</t>
  </si>
  <si>
    <t>661814875873</t>
  </si>
  <si>
    <t>4</t>
  </si>
  <si>
    <t>661814875859</t>
  </si>
  <si>
    <t>6</t>
  </si>
  <si>
    <t>661814875835</t>
  </si>
  <si>
    <t>8</t>
  </si>
  <si>
    <t>661814876139</t>
  </si>
  <si>
    <t>661814876115</t>
  </si>
  <si>
    <t>661814876092</t>
  </si>
  <si>
    <t>661814876078</t>
  </si>
  <si>
    <t>661814876030</t>
  </si>
  <si>
    <t>661814876016</t>
  </si>
  <si>
    <t>661814875996</t>
  </si>
  <si>
    <t>661814876054</t>
  </si>
  <si>
    <t>661814885612</t>
  </si>
  <si>
    <t>30</t>
  </si>
  <si>
    <t>661814885599</t>
  </si>
  <si>
    <t>31</t>
  </si>
  <si>
    <t>661814885575</t>
  </si>
  <si>
    <t>32</t>
  </si>
  <si>
    <t>661814885551</t>
  </si>
  <si>
    <t>33</t>
  </si>
  <si>
    <t>661814885537</t>
  </si>
  <si>
    <t>34</t>
  </si>
  <si>
    <t>661814885513</t>
  </si>
  <si>
    <t>36</t>
  </si>
  <si>
    <t>661814885490</t>
  </si>
  <si>
    <t>38</t>
  </si>
  <si>
    <t>661814885476</t>
  </si>
  <si>
    <t>40</t>
  </si>
  <si>
    <t>661814885773</t>
  </si>
  <si>
    <t>661814885759</t>
  </si>
  <si>
    <t>661814885735</t>
  </si>
  <si>
    <t>661814885711</t>
  </si>
  <si>
    <t>661814885698</t>
  </si>
  <si>
    <t>661814885674</t>
  </si>
  <si>
    <t>661814885650</t>
  </si>
  <si>
    <t>661814885636</t>
  </si>
  <si>
    <t>661814877297</t>
  </si>
  <si>
    <t>661814877273</t>
  </si>
  <si>
    <t>661814877259</t>
  </si>
  <si>
    <t>661814877235</t>
  </si>
  <si>
    <t>661814877211</t>
  </si>
  <si>
    <t>661814877198</t>
  </si>
  <si>
    <t>661814876177</t>
  </si>
  <si>
    <t>661814876153</t>
  </si>
  <si>
    <t>661814877457</t>
  </si>
  <si>
    <t>661814877433</t>
  </si>
  <si>
    <t>661814877419</t>
  </si>
  <si>
    <t>661814877396</t>
  </si>
  <si>
    <t>661814877372</t>
  </si>
  <si>
    <t>661814877358</t>
  </si>
  <si>
    <t>661814877334</t>
  </si>
  <si>
    <t>661814877310</t>
  </si>
  <si>
    <t>661814893112</t>
  </si>
  <si>
    <t>661814893099</t>
  </si>
  <si>
    <t>661814893075</t>
  </si>
  <si>
    <t>661814893051</t>
  </si>
  <si>
    <t>661814893037</t>
  </si>
  <si>
    <t>661814893013</t>
  </si>
  <si>
    <t>661814892993</t>
  </si>
  <si>
    <t>661814892979</t>
  </si>
  <si>
    <t>661814885452</t>
  </si>
  <si>
    <t>661814885438</t>
  </si>
  <si>
    <t>661814885414</t>
  </si>
  <si>
    <t>661814885391</t>
  </si>
  <si>
    <t>661814885377</t>
  </si>
  <si>
    <t>661814885339</t>
  </si>
  <si>
    <t>661814885315</t>
  </si>
  <si>
    <t>661814885292</t>
  </si>
  <si>
    <t>661814939735</t>
  </si>
  <si>
    <t>661814939728</t>
  </si>
  <si>
    <t>661814939711</t>
  </si>
  <si>
    <t>661814939704</t>
  </si>
  <si>
    <t>661814939698</t>
  </si>
  <si>
    <t>661814939780</t>
  </si>
  <si>
    <t>661814939773</t>
  </si>
  <si>
    <t>661814939766</t>
  </si>
  <si>
    <t>661814939759</t>
  </si>
  <si>
    <t>661814939742</t>
  </si>
  <si>
    <t>661814824833</t>
  </si>
  <si>
    <t>661814824819</t>
  </si>
  <si>
    <t>661814824796</t>
  </si>
  <si>
    <t>661814824772</t>
  </si>
  <si>
    <t>661814824758</t>
  </si>
  <si>
    <t>661814889061</t>
  </si>
  <si>
    <t>661814889047</t>
  </si>
  <si>
    <t>661814889023</t>
  </si>
  <si>
    <t>661814889009</t>
  </si>
  <si>
    <t>661814888989</t>
  </si>
  <si>
    <t>1-2, 2-2,3-3</t>
  </si>
  <si>
    <t>661814886145</t>
  </si>
  <si>
    <t>661814886121</t>
  </si>
  <si>
    <t>661814885469</t>
  </si>
  <si>
    <t>1-1</t>
  </si>
  <si>
    <t>Fourteen thousand seven hundred seventy five ad cents four only</t>
  </si>
  <si>
    <t>Three thousand three hundred three and cents thirty two only</t>
  </si>
  <si>
    <t>Tentree c/o NRI Distribution Inc. - RECEIVING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</si>
</sst>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#,##0.000"/>
    <numFmt numFmtId="166" formatCode="_(* #,##0.00_);_(* \(#,##0.00\);_(* \-??_);_(@_)"/>
    <numFmt numFmtId="167" formatCode="[$-3809]General"/>
    <numFmt numFmtId="168" formatCode="#,##0&quot; &quot;;&quot; (&quot;#,##0&quot;)&quot;;&quot; -&quot;#&quot; &quot;;@&quot; &quot;"/>
  </numFmts>
  <fonts count="8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rgb="FF215E99"/>
      <name val="Aptos Narrow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rgb="FFFF0000"/>
      <name val="Aptos Narrow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b/>
      <sz val="10"/>
      <color indexed="8"/>
      <name val="Calibri"/>
      <family val="2"/>
    </font>
    <font>
      <b/>
      <sz val="16"/>
      <color theme="1"/>
      <name val="Calibri"/>
      <family val="2"/>
    </font>
    <font>
      <b/>
      <sz val="8"/>
      <color theme="1"/>
      <name val="Calibri"/>
      <family val="2"/>
    </font>
    <font>
      <b/>
      <u/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u/>
      <sz val="8"/>
      <color theme="1"/>
      <name val="Calibri"/>
      <family val="2"/>
    </font>
    <font>
      <sz val="11"/>
      <name val="Calibri"/>
      <family val="2"/>
    </font>
    <font>
      <b/>
      <u/>
      <sz val="9"/>
      <color theme="1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Aptos Narrow"/>
      <family val="2"/>
    </font>
    <font>
      <sz val="10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1"/>
      <color indexed="8"/>
      <name val="Calibri"/>
      <family val="2"/>
    </font>
    <font>
      <sz val="12"/>
      <name val="??"/>
      <charset val="134"/>
    </font>
    <font>
      <sz val="12"/>
      <color indexed="8"/>
      <name val="Calibri"/>
      <family val="2"/>
    </font>
    <font>
      <sz val="10"/>
      <name val="Verdana"/>
      <family val="2"/>
    </font>
    <font>
      <sz val="12"/>
      <name val="宋体"/>
    </font>
    <font>
      <sz val="10"/>
      <name val="Calibri"/>
      <family val="2"/>
    </font>
    <font>
      <sz val="10"/>
      <name val="Arial"/>
      <family val="2"/>
      <charset val="1"/>
    </font>
    <font>
      <sz val="11"/>
      <color rgb="FFFF0000"/>
      <name val="Calibri"/>
      <family val="2"/>
    </font>
    <font>
      <b/>
      <u/>
      <sz val="11"/>
      <name val="Calibri"/>
      <family val="2"/>
    </font>
    <font>
      <b/>
      <u/>
      <sz val="10"/>
      <name val="Calibri"/>
      <family val="2"/>
    </font>
    <font>
      <u/>
      <sz val="11"/>
      <name val="Calibri"/>
      <family val="2"/>
    </font>
    <font>
      <sz val="10"/>
      <name val="Mangal"/>
      <family val="1"/>
    </font>
    <font>
      <sz val="9"/>
      <color indexed="8"/>
      <name val="Calibri"/>
      <family val="2"/>
    </font>
    <font>
      <b/>
      <sz val="11"/>
      <color rgb="FFFF0000"/>
      <name val="Calibri"/>
      <family val="2"/>
    </font>
    <font>
      <b/>
      <i/>
      <u/>
      <sz val="12"/>
      <color rgb="FFFF0000"/>
      <name val="Calibri"/>
      <family val="2"/>
    </font>
    <font>
      <b/>
      <i/>
      <sz val="12"/>
      <name val="Calibri"/>
      <family val="2"/>
    </font>
    <font>
      <b/>
      <sz val="12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b/>
      <u/>
      <sz val="14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2"/>
      <color theme="1"/>
      <name val="??"/>
    </font>
    <font>
      <sz val="10"/>
      <color theme="1"/>
      <name val="Verdana"/>
      <family val="2"/>
    </font>
    <font>
      <sz val="12"/>
      <color theme="1"/>
      <name val="宋体"/>
    </font>
    <font>
      <b/>
      <sz val="16"/>
      <name val="Calibri"/>
      <family val="2"/>
    </font>
    <font>
      <b/>
      <sz val="10"/>
      <name val="Calibri"/>
      <family val="2"/>
    </font>
    <font>
      <b/>
      <sz val="11"/>
      <color indexed="1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BFBFBF"/>
      <name val="Calibri"/>
      <family val="2"/>
    </font>
    <font>
      <sz val="10"/>
      <color rgb="FF000000"/>
      <name val="Calibri"/>
      <family val="2"/>
    </font>
    <font>
      <sz val="10"/>
      <color rgb="FFBFBFBF"/>
      <name val="Calibri"/>
      <family val="2"/>
    </font>
    <font>
      <sz val="15"/>
      <color theme="1"/>
      <name val="Calibri"/>
      <family val="2"/>
    </font>
    <font>
      <sz val="13"/>
      <color theme="1"/>
      <name val="Calibri"/>
      <family val="2"/>
    </font>
    <font>
      <b/>
      <u/>
      <sz val="14"/>
      <color rgb="FF000000"/>
      <name val="Calibri"/>
      <family val="2"/>
    </font>
    <font>
      <b/>
      <sz val="15"/>
      <color theme="1"/>
      <name val="Calibri"/>
      <family val="2"/>
    </font>
    <font>
      <b/>
      <sz val="10"/>
      <color rgb="FFFFFFFF"/>
      <name val="Calibri"/>
      <family val="2"/>
    </font>
    <font>
      <sz val="12"/>
      <color rgb="FFFFFFFF"/>
      <name val="Calibri"/>
      <family val="2"/>
    </font>
    <font>
      <b/>
      <u/>
      <sz val="12"/>
      <color rgb="FF000000"/>
      <name val="Calibri"/>
      <family val="2"/>
    </font>
    <font>
      <sz val="10.5"/>
      <color rgb="FF000000"/>
      <name val="Calibri"/>
      <family val="2"/>
    </font>
    <font>
      <sz val="11"/>
      <color rgb="FFFFFFFF"/>
      <name val="Calibri"/>
      <family val="2"/>
    </font>
    <font>
      <sz val="9"/>
      <color theme="1"/>
      <name val="Calibri"/>
      <family val="2"/>
    </font>
    <font>
      <sz val="15"/>
      <color rgb="FFBFBFBF"/>
      <name val="Calibri"/>
      <family val="2"/>
    </font>
    <font>
      <sz val="15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DDDDD"/>
        <bgColor rgb="FFDDDDDD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3F3F3"/>
      </patternFill>
    </fill>
    <fill>
      <patternFill patternType="solid">
        <fgColor theme="5" tint="0.39997558519241921"/>
        <bgColor rgb="FFF3F3F3"/>
      </patternFill>
    </fill>
    <fill>
      <patternFill patternType="solid">
        <fgColor theme="7" tint="0.39997558519241921"/>
        <bgColor rgb="FFF3F3F3"/>
      </patternFill>
    </fill>
    <fill>
      <patternFill patternType="solid">
        <fgColor theme="4" tint="0.79998168889431442"/>
        <bgColor rgb="FFF3F3F3"/>
      </patternFill>
    </fill>
    <fill>
      <patternFill patternType="solid">
        <fgColor theme="6" tint="0.59999389629810485"/>
        <bgColor rgb="FFEEEEEE"/>
      </patternFill>
    </fill>
    <fill>
      <patternFill patternType="solid">
        <fgColor theme="6" tint="0.59999389629810485"/>
        <bgColor rgb="FFF3F3F3"/>
      </patternFill>
    </fill>
    <fill>
      <patternFill patternType="solid">
        <fgColor theme="8" tint="0.59999389629810485"/>
        <bgColor rgb="FFF3F3F3"/>
      </patternFill>
    </fill>
    <fill>
      <patternFill patternType="solid">
        <fgColor rgb="FFFFFF00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rgb="FFF3F3F3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FF"/>
      </patternFill>
    </fill>
  </fills>
  <borders count="1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</borders>
  <cellStyleXfs count="21">
    <xf numFmtId="0" fontId="0" fillId="0" borderId="0"/>
    <xf numFmtId="0" fontId="28" fillId="0" borderId="0"/>
    <xf numFmtId="0" fontId="29" fillId="0" borderId="0"/>
    <xf numFmtId="0" fontId="32" fillId="0" borderId="0"/>
    <xf numFmtId="0" fontId="33" fillId="0" borderId="0"/>
    <xf numFmtId="0" fontId="35" fillId="0" borderId="0"/>
    <xf numFmtId="0" fontId="36" fillId="0" borderId="0"/>
    <xf numFmtId="0" fontId="29" fillId="0" borderId="0"/>
    <xf numFmtId="0" fontId="38" fillId="0" borderId="0"/>
    <xf numFmtId="0" fontId="33" fillId="0" borderId="0"/>
    <xf numFmtId="166" fontId="43" fillId="0" borderId="0" applyFill="0" applyBorder="0" applyAlignment="0" applyProtection="0"/>
    <xf numFmtId="167" fontId="53" fillId="0" borderId="0"/>
    <xf numFmtId="167" fontId="55" fillId="0" borderId="0"/>
    <xf numFmtId="167" fontId="56" fillId="0" borderId="0"/>
    <xf numFmtId="167" fontId="57" fillId="0" borderId="0"/>
    <xf numFmtId="167" fontId="54" fillId="0" borderId="0"/>
    <xf numFmtId="167" fontId="58" fillId="0" borderId="0"/>
    <xf numFmtId="167" fontId="53" fillId="0" borderId="0"/>
    <xf numFmtId="0" fontId="7" fillId="0" borderId="0"/>
    <xf numFmtId="0" fontId="38" fillId="0" borderId="0"/>
    <xf numFmtId="0" fontId="28" fillId="0" borderId="0"/>
  </cellStyleXfs>
  <cellXfs count="65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3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7" fillId="0" borderId="0" xfId="0" applyFont="1"/>
    <xf numFmtId="0" fontId="17" fillId="0" borderId="1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21" fillId="0" borderId="0" xfId="0" applyFont="1"/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0" borderId="0" xfId="0" applyFont="1"/>
    <xf numFmtId="0" fontId="5" fillId="0" borderId="0" xfId="0" applyFont="1"/>
    <xf numFmtId="0" fontId="23" fillId="0" borderId="0" xfId="0" applyFont="1" applyAlignment="1">
      <alignment vertical="center"/>
    </xf>
    <xf numFmtId="0" fontId="22" fillId="0" borderId="0" xfId="0" applyFont="1"/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22" fillId="0" borderId="10" xfId="0" applyFont="1" applyBorder="1"/>
    <xf numFmtId="0" fontId="2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/>
    <xf numFmtId="0" fontId="27" fillId="0" borderId="0" xfId="0" applyFont="1"/>
    <xf numFmtId="0" fontId="13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30" fillId="0" borderId="0" xfId="2" applyFont="1"/>
    <xf numFmtId="0" fontId="31" fillId="0" borderId="0" xfId="2" applyFont="1" applyAlignment="1">
      <alignment horizontal="centerContinuous"/>
    </xf>
    <xf numFmtId="0" fontId="31" fillId="0" borderId="0" xfId="2" applyFont="1" applyAlignment="1">
      <alignment horizontal="center"/>
    </xf>
    <xf numFmtId="0" fontId="30" fillId="0" borderId="16" xfId="2" applyFont="1" applyBorder="1"/>
    <xf numFmtId="0" fontId="30" fillId="0" borderId="17" xfId="2" applyFont="1" applyBorder="1"/>
    <xf numFmtId="0" fontId="30" fillId="0" borderId="18" xfId="2" applyFont="1" applyBorder="1" applyAlignment="1" applyProtection="1">
      <alignment horizontal="right"/>
      <protection locked="0"/>
    </xf>
    <xf numFmtId="0" fontId="30" fillId="0" borderId="11" xfId="2" applyFont="1" applyBorder="1" applyAlignment="1" applyProtection="1">
      <alignment horizontal="left"/>
      <protection locked="0"/>
    </xf>
    <xf numFmtId="0" fontId="30" fillId="0" borderId="18" xfId="2" applyFont="1" applyBorder="1" applyProtection="1">
      <protection locked="0"/>
    </xf>
    <xf numFmtId="0" fontId="30" fillId="0" borderId="11" xfId="2" applyFont="1" applyBorder="1" applyProtection="1">
      <protection locked="0"/>
    </xf>
    <xf numFmtId="0" fontId="30" fillId="0" borderId="19" xfId="2" applyFont="1" applyBorder="1"/>
    <xf numFmtId="0" fontId="30" fillId="0" borderId="20" xfId="2" applyFont="1" applyBorder="1"/>
    <xf numFmtId="0" fontId="30" fillId="0" borderId="21" xfId="2" applyFont="1" applyBorder="1"/>
    <xf numFmtId="0" fontId="31" fillId="0" borderId="22" xfId="2" applyFont="1" applyBorder="1" applyAlignment="1" applyProtection="1">
      <alignment horizontal="left"/>
      <protection locked="0"/>
    </xf>
    <xf numFmtId="0" fontId="31" fillId="0" borderId="0" xfId="2" applyFont="1" applyAlignment="1" applyProtection="1">
      <alignment horizontal="left"/>
      <protection locked="0"/>
    </xf>
    <xf numFmtId="0" fontId="31" fillId="0" borderId="23" xfId="2" applyFont="1" applyBorder="1" applyAlignment="1" applyProtection="1">
      <alignment horizontal="left"/>
      <protection locked="0"/>
    </xf>
    <xf numFmtId="15" fontId="31" fillId="0" borderId="0" xfId="2" applyNumberFormat="1" applyFont="1"/>
    <xf numFmtId="0" fontId="30" fillId="0" borderId="23" xfId="2" applyFont="1" applyBorder="1"/>
    <xf numFmtId="0" fontId="30" fillId="0" borderId="22" xfId="2" applyFont="1" applyBorder="1" applyAlignment="1" applyProtection="1">
      <alignment horizontal="left"/>
      <protection locked="0"/>
    </xf>
    <xf numFmtId="0" fontId="30" fillId="0" borderId="0" xfId="2" applyFont="1" applyAlignment="1" applyProtection="1">
      <alignment horizontal="left"/>
      <protection locked="0"/>
    </xf>
    <xf numFmtId="0" fontId="30" fillId="0" borderId="23" xfId="2" applyFont="1" applyBorder="1" applyAlignment="1" applyProtection="1">
      <alignment horizontal="left"/>
      <protection locked="0"/>
    </xf>
    <xf numFmtId="0" fontId="30" fillId="0" borderId="24" xfId="2" applyFont="1" applyBorder="1" applyAlignment="1" applyProtection="1">
      <alignment horizontal="left"/>
      <protection locked="0"/>
    </xf>
    <xf numFmtId="0" fontId="30" fillId="0" borderId="25" xfId="2" applyFont="1" applyBorder="1" applyAlignment="1" applyProtection="1">
      <alignment horizontal="left"/>
      <protection locked="0"/>
    </xf>
    <xf numFmtId="0" fontId="30" fillId="0" borderId="26" xfId="2" applyFont="1" applyBorder="1" applyAlignment="1" applyProtection="1">
      <alignment horizontal="left"/>
      <protection locked="0"/>
    </xf>
    <xf numFmtId="0" fontId="30" fillId="0" borderId="27" xfId="2" applyFont="1" applyBorder="1" applyAlignment="1" applyProtection="1">
      <alignment horizontal="left"/>
      <protection locked="0"/>
    </xf>
    <xf numFmtId="0" fontId="30" fillId="0" borderId="28" xfId="2" applyFont="1" applyBorder="1" applyAlignment="1" applyProtection="1">
      <alignment horizontal="left"/>
      <protection locked="0"/>
    </xf>
    <xf numFmtId="0" fontId="30" fillId="0" borderId="22" xfId="2" applyFont="1" applyBorder="1"/>
    <xf numFmtId="0" fontId="30" fillId="0" borderId="29" xfId="2" applyFont="1" applyBorder="1"/>
    <xf numFmtId="0" fontId="30" fillId="0" borderId="30" xfId="2" applyFont="1" applyBorder="1"/>
    <xf numFmtId="0" fontId="34" fillId="0" borderId="0" xfId="2" applyFont="1" applyAlignment="1">
      <alignment vertical="center"/>
    </xf>
    <xf numFmtId="0" fontId="30" fillId="0" borderId="11" xfId="2" applyFont="1" applyBorder="1"/>
    <xf numFmtId="0" fontId="30" fillId="0" borderId="18" xfId="2" applyFont="1" applyBorder="1"/>
    <xf numFmtId="0" fontId="31" fillId="0" borderId="0" xfId="2" applyFont="1"/>
    <xf numFmtId="0" fontId="31" fillId="0" borderId="11" xfId="2" applyFont="1" applyBorder="1" applyAlignment="1">
      <alignment horizontal="centerContinuous"/>
    </xf>
    <xf numFmtId="0" fontId="31" fillId="0" borderId="12" xfId="2" applyFont="1" applyBorder="1" applyAlignment="1">
      <alignment horizontal="centerContinuous"/>
    </xf>
    <xf numFmtId="0" fontId="30" fillId="0" borderId="31" xfId="2" applyFont="1" applyBorder="1"/>
    <xf numFmtId="0" fontId="30" fillId="0" borderId="13" xfId="2" applyFont="1" applyBorder="1"/>
    <xf numFmtId="0" fontId="30" fillId="0" borderId="27" xfId="2" applyFont="1" applyBorder="1"/>
    <xf numFmtId="0" fontId="30" fillId="0" borderId="28" xfId="2" applyFont="1" applyBorder="1"/>
    <xf numFmtId="0" fontId="37" fillId="0" borderId="22" xfId="2" applyFont="1" applyBorder="1" applyAlignment="1" applyProtection="1">
      <alignment horizontal="left"/>
      <protection locked="0"/>
    </xf>
    <xf numFmtId="0" fontId="24" fillId="0" borderId="22" xfId="2" applyFont="1" applyBorder="1" applyAlignment="1" applyProtection="1">
      <alignment horizontal="left"/>
      <protection locked="0"/>
    </xf>
    <xf numFmtId="0" fontId="30" fillId="0" borderId="24" xfId="2" applyFont="1" applyBorder="1"/>
    <xf numFmtId="0" fontId="30" fillId="0" borderId="27" xfId="2" applyFont="1" applyBorder="1" applyAlignment="1">
      <alignment horizontal="center"/>
    </xf>
    <xf numFmtId="0" fontId="30" fillId="0" borderId="28" xfId="2" applyFont="1" applyBorder="1" applyAlignment="1">
      <alignment horizontal="center"/>
    </xf>
    <xf numFmtId="0" fontId="30" fillId="0" borderId="32" xfId="2" applyFont="1" applyBorder="1"/>
    <xf numFmtId="0" fontId="30" fillId="0" borderId="15" xfId="2" applyFont="1" applyBorder="1" applyAlignment="1">
      <alignment horizontal="centerContinuous" vertical="center"/>
    </xf>
    <xf numFmtId="0" fontId="30" fillId="0" borderId="33" xfId="2" applyFont="1" applyBorder="1" applyAlignment="1">
      <alignment horizontal="centerContinuous" vertical="center"/>
    </xf>
    <xf numFmtId="0" fontId="30" fillId="0" borderId="32" xfId="2" applyFont="1" applyBorder="1" applyAlignment="1">
      <alignment horizontal="right"/>
    </xf>
    <xf numFmtId="0" fontId="30" fillId="0" borderId="14" xfId="2" applyFont="1" applyBorder="1" applyAlignment="1">
      <alignment horizontal="centerContinuous"/>
    </xf>
    <xf numFmtId="0" fontId="30" fillId="0" borderId="16" xfId="2" applyFont="1" applyBorder="1" applyAlignment="1">
      <alignment horizontal="centerContinuous"/>
    </xf>
    <xf numFmtId="0" fontId="30" fillId="0" borderId="34" xfId="2" applyFont="1" applyBorder="1" applyAlignment="1">
      <alignment horizontal="centerContinuous"/>
    </xf>
    <xf numFmtId="0" fontId="30" fillId="0" borderId="35" xfId="2" applyFont="1" applyBorder="1" applyAlignment="1">
      <alignment horizontal="centerContinuous"/>
    </xf>
    <xf numFmtId="0" fontId="30" fillId="0" borderId="12" xfId="2" applyFont="1" applyBorder="1" applyAlignment="1">
      <alignment horizontal="centerContinuous"/>
    </xf>
    <xf numFmtId="0" fontId="30" fillId="0" borderId="18" xfId="2" applyFont="1" applyBorder="1" applyAlignment="1">
      <alignment horizontal="centerContinuous"/>
    </xf>
    <xf numFmtId="1" fontId="24" fillId="0" borderId="32" xfId="2" applyNumberFormat="1" applyFont="1" applyBorder="1" applyProtection="1">
      <protection locked="0"/>
    </xf>
    <xf numFmtId="0" fontId="40" fillId="0" borderId="0" xfId="2" applyFont="1" applyAlignment="1" applyProtection="1">
      <alignment horizontal="left"/>
      <protection locked="0"/>
    </xf>
    <xf numFmtId="0" fontId="24" fillId="0" borderId="0" xfId="2" applyFont="1" applyAlignment="1" applyProtection="1">
      <alignment horizontal="left"/>
      <protection locked="0"/>
    </xf>
    <xf numFmtId="0" fontId="24" fillId="0" borderId="23" xfId="2" applyFont="1" applyBorder="1" applyAlignment="1" applyProtection="1">
      <alignment horizontal="left"/>
      <protection locked="0"/>
    </xf>
    <xf numFmtId="0" fontId="24" fillId="0" borderId="0" xfId="2" applyFont="1" applyProtection="1">
      <protection locked="0"/>
    </xf>
    <xf numFmtId="0" fontId="24" fillId="0" borderId="11" xfId="2" applyFont="1" applyBorder="1" applyProtection="1">
      <protection locked="0"/>
    </xf>
    <xf numFmtId="0" fontId="24" fillId="0" borderId="18" xfId="2" applyFont="1" applyBorder="1" applyProtection="1">
      <protection locked="0"/>
    </xf>
    <xf numFmtId="3" fontId="24" fillId="0" borderId="36" xfId="2" applyNumberFormat="1" applyFont="1" applyBorder="1" applyAlignment="1" applyProtection="1">
      <alignment horizontal="center"/>
      <protection locked="0"/>
    </xf>
    <xf numFmtId="0" fontId="40" fillId="0" borderId="0" xfId="2" applyFont="1" applyAlignment="1" applyProtection="1">
      <alignment horizontal="center"/>
      <protection locked="0"/>
    </xf>
    <xf numFmtId="0" fontId="41" fillId="0" borderId="0" xfId="2" applyFont="1" applyAlignment="1" applyProtection="1">
      <alignment horizontal="left"/>
      <protection locked="0"/>
    </xf>
    <xf numFmtId="0" fontId="42" fillId="0" borderId="0" xfId="2" applyFont="1" applyAlignment="1" applyProtection="1">
      <alignment horizontal="center"/>
      <protection locked="0"/>
    </xf>
    <xf numFmtId="3" fontId="24" fillId="0" borderId="0" xfId="2" applyNumberFormat="1" applyFont="1" applyAlignment="1" applyProtection="1">
      <alignment horizontal="right"/>
      <protection locked="0"/>
    </xf>
    <xf numFmtId="3" fontId="24" fillId="0" borderId="0" xfId="2" applyNumberFormat="1" applyFont="1" applyAlignment="1" applyProtection="1">
      <alignment horizontal="center"/>
      <protection locked="0"/>
    </xf>
    <xf numFmtId="166" fontId="24" fillId="0" borderId="0" xfId="2" applyNumberFormat="1" applyFont="1" applyAlignment="1" applyProtection="1">
      <alignment horizontal="left"/>
      <protection locked="0"/>
    </xf>
    <xf numFmtId="166" fontId="24" fillId="0" borderId="23" xfId="2" applyNumberFormat="1" applyFont="1" applyBorder="1" applyAlignment="1" applyProtection="1">
      <alignment horizontal="center"/>
      <protection locked="0"/>
    </xf>
    <xf numFmtId="0" fontId="24" fillId="0" borderId="36" xfId="2" applyFont="1" applyBorder="1" applyProtection="1">
      <protection locked="0"/>
    </xf>
    <xf numFmtId="1" fontId="24" fillId="0" borderId="0" xfId="9" quotePrefix="1" applyNumberFormat="1" applyFont="1" applyAlignment="1" applyProtection="1">
      <alignment horizontal="left" vertical="center"/>
      <protection locked="0"/>
    </xf>
    <xf numFmtId="2" fontId="24" fillId="0" borderId="0" xfId="5" applyNumberFormat="1" applyFont="1" applyAlignment="1">
      <alignment horizontal="center" vertical="center"/>
    </xf>
    <xf numFmtId="0" fontId="24" fillId="0" borderId="0" xfId="5" applyFont="1" applyAlignment="1">
      <alignment horizontal="left" vertical="center"/>
    </xf>
    <xf numFmtId="1" fontId="24" fillId="0" borderId="0" xfId="9" applyNumberFormat="1" applyFont="1" applyAlignment="1" applyProtection="1">
      <alignment vertical="center"/>
      <protection locked="0"/>
    </xf>
    <xf numFmtId="1" fontId="24" fillId="0" borderId="0" xfId="5" applyNumberFormat="1" applyFont="1" applyAlignment="1">
      <alignment horizontal="right"/>
    </xf>
    <xf numFmtId="3" fontId="24" fillId="0" borderId="0" xfId="2" applyNumberFormat="1" applyFont="1" applyAlignment="1" applyProtection="1">
      <alignment horizontal="left"/>
      <protection locked="0"/>
    </xf>
    <xf numFmtId="0" fontId="24" fillId="0" borderId="18" xfId="2" applyFont="1" applyBorder="1" applyAlignment="1" applyProtection="1">
      <alignment horizontal="right"/>
      <protection locked="0"/>
    </xf>
    <xf numFmtId="165" fontId="24" fillId="0" borderId="0" xfId="10" applyNumberFormat="1" applyFont="1" applyFill="1" applyBorder="1" applyAlignment="1">
      <alignment horizontal="left"/>
    </xf>
    <xf numFmtId="165" fontId="24" fillId="0" borderId="22" xfId="2" applyNumberFormat="1" applyFont="1" applyBorder="1" applyAlignment="1" applyProtection="1">
      <alignment horizontal="right"/>
      <protection locked="0"/>
    </xf>
    <xf numFmtId="165" fontId="24" fillId="0" borderId="23" xfId="2" applyNumberFormat="1" applyFont="1" applyBorder="1" applyAlignment="1" applyProtection="1">
      <alignment horizontal="left"/>
      <protection locked="0"/>
    </xf>
    <xf numFmtId="0" fontId="30" fillId="0" borderId="0" xfId="2" applyFont="1" applyAlignment="1">
      <alignment horizontal="right"/>
    </xf>
    <xf numFmtId="165" fontId="30" fillId="0" borderId="22" xfId="2" applyNumberFormat="1" applyFont="1" applyBorder="1" applyAlignment="1" applyProtection="1">
      <alignment horizontal="right"/>
      <protection locked="0"/>
    </xf>
    <xf numFmtId="165" fontId="30" fillId="0" borderId="23" xfId="2" applyNumberFormat="1" applyFont="1" applyBorder="1" applyAlignment="1" applyProtection="1">
      <alignment horizontal="left"/>
      <protection locked="0"/>
    </xf>
    <xf numFmtId="0" fontId="30" fillId="0" borderId="32" xfId="2" applyFont="1" applyBorder="1" applyProtection="1">
      <protection locked="0"/>
    </xf>
    <xf numFmtId="0" fontId="31" fillId="0" borderId="18" xfId="2" applyFont="1" applyBorder="1" applyAlignment="1" applyProtection="1">
      <alignment horizontal="left"/>
      <protection locked="0"/>
    </xf>
    <xf numFmtId="1" fontId="30" fillId="0" borderId="0" xfId="5" applyNumberFormat="1" applyFont="1" applyAlignment="1">
      <alignment horizontal="right" vertical="center"/>
    </xf>
    <xf numFmtId="3" fontId="30" fillId="0" borderId="0" xfId="2" applyNumberFormat="1" applyFont="1" applyAlignment="1" applyProtection="1">
      <alignment horizontal="center"/>
      <protection locked="0"/>
    </xf>
    <xf numFmtId="165" fontId="30" fillId="0" borderId="0" xfId="2" applyNumberFormat="1" applyFont="1" applyAlignment="1" applyProtection="1">
      <alignment horizontal="left"/>
      <protection locked="0"/>
    </xf>
    <xf numFmtId="0" fontId="30" fillId="0" borderId="18" xfId="2" applyFont="1" applyBorder="1" applyAlignment="1" applyProtection="1">
      <alignment horizontal="left"/>
      <protection locked="0"/>
    </xf>
    <xf numFmtId="3" fontId="30" fillId="0" borderId="0" xfId="2" applyNumberFormat="1" applyFont="1" applyAlignment="1" applyProtection="1">
      <alignment horizontal="right"/>
      <protection locked="0"/>
    </xf>
    <xf numFmtId="165" fontId="30" fillId="0" borderId="23" xfId="2" applyNumberFormat="1" applyFont="1" applyBorder="1" applyAlignment="1" applyProtection="1">
      <alignment horizontal="center"/>
      <protection locked="0"/>
    </xf>
    <xf numFmtId="0" fontId="30" fillId="0" borderId="37" xfId="2" applyFont="1" applyBorder="1" applyProtection="1">
      <protection locked="0"/>
    </xf>
    <xf numFmtId="3" fontId="31" fillId="0" borderId="18" xfId="2" applyNumberFormat="1" applyFont="1" applyBorder="1" applyProtection="1">
      <protection locked="0"/>
    </xf>
    <xf numFmtId="0" fontId="31" fillId="0" borderId="31" xfId="2" applyFont="1" applyBorder="1" applyProtection="1">
      <protection locked="0"/>
    </xf>
    <xf numFmtId="165" fontId="30" fillId="0" borderId="27" xfId="2" applyNumberFormat="1" applyFont="1" applyBorder="1" applyProtection="1">
      <protection locked="0"/>
    </xf>
    <xf numFmtId="0" fontId="30" fillId="0" borderId="38" xfId="2" applyFont="1" applyBorder="1"/>
    <xf numFmtId="0" fontId="30" fillId="0" borderId="39" xfId="2" applyFont="1" applyBorder="1"/>
    <xf numFmtId="0" fontId="30" fillId="0" borderId="40" xfId="2" applyFont="1" applyBorder="1"/>
    <xf numFmtId="165" fontId="30" fillId="0" borderId="41" xfId="2" applyNumberFormat="1" applyFont="1" applyBorder="1"/>
    <xf numFmtId="165" fontId="30" fillId="0" borderId="42" xfId="2" applyNumberFormat="1" applyFont="1" applyBorder="1"/>
    <xf numFmtId="165" fontId="30" fillId="0" borderId="43" xfId="2" applyNumberFormat="1" applyFont="1" applyBorder="1"/>
    <xf numFmtId="0" fontId="30" fillId="0" borderId="17" xfId="2" applyFont="1" applyBorder="1" applyAlignment="1">
      <alignment horizontal="centerContinuous"/>
    </xf>
    <xf numFmtId="165" fontId="30" fillId="0" borderId="17" xfId="2" applyNumberFormat="1" applyFont="1" applyBorder="1" applyAlignment="1">
      <alignment horizontal="centerContinuous"/>
    </xf>
    <xf numFmtId="165" fontId="30" fillId="0" borderId="12" xfId="2" applyNumberFormat="1" applyFont="1" applyBorder="1"/>
    <xf numFmtId="165" fontId="30" fillId="0" borderId="23" xfId="2" applyNumberFormat="1" applyFont="1" applyBorder="1"/>
    <xf numFmtId="166" fontId="31" fillId="0" borderId="18" xfId="2" applyNumberFormat="1" applyFont="1" applyBorder="1" applyProtection="1">
      <protection locked="0"/>
    </xf>
    <xf numFmtId="166" fontId="31" fillId="0" borderId="11" xfId="2" applyNumberFormat="1" applyFont="1" applyBorder="1" applyProtection="1">
      <protection locked="0"/>
    </xf>
    <xf numFmtId="2" fontId="31" fillId="0" borderId="18" xfId="2" applyNumberFormat="1" applyFont="1" applyBorder="1" applyProtection="1">
      <protection locked="0"/>
    </xf>
    <xf numFmtId="165" fontId="31" fillId="0" borderId="11" xfId="2" applyNumberFormat="1" applyFont="1" applyBorder="1" applyProtection="1">
      <protection locked="0"/>
    </xf>
    <xf numFmtId="0" fontId="30" fillId="0" borderId="11" xfId="2" applyFont="1" applyBorder="1" applyAlignment="1">
      <alignment horizontal="left"/>
    </xf>
    <xf numFmtId="0" fontId="30" fillId="0" borderId="44" xfId="2" applyFont="1" applyBorder="1"/>
    <xf numFmtId="0" fontId="30" fillId="0" borderId="27" xfId="2" applyFont="1" applyBorder="1" applyAlignment="1">
      <alignment horizontal="left"/>
    </xf>
    <xf numFmtId="0" fontId="30" fillId="0" borderId="31" xfId="2" applyFont="1" applyBorder="1" applyAlignment="1">
      <alignment horizontal="left"/>
    </xf>
    <xf numFmtId="0" fontId="31" fillId="0" borderId="22" xfId="2" applyFont="1" applyBorder="1"/>
    <xf numFmtId="0" fontId="30" fillId="0" borderId="44" xfId="2" applyFont="1" applyBorder="1" applyAlignment="1" applyProtection="1">
      <alignment horizontal="left"/>
      <protection locked="0"/>
    </xf>
    <xf numFmtId="0" fontId="30" fillId="0" borderId="15" xfId="2" applyFont="1" applyBorder="1"/>
    <xf numFmtId="0" fontId="30" fillId="0" borderId="27" xfId="2" applyFont="1" applyBorder="1" applyAlignment="1" applyProtection="1">
      <alignment horizontal="centerContinuous"/>
      <protection locked="0"/>
    </xf>
    <xf numFmtId="0" fontId="30" fillId="0" borderId="25" xfId="2" applyFont="1" applyBorder="1"/>
    <xf numFmtId="0" fontId="30" fillId="0" borderId="25" xfId="2" applyFont="1" applyBorder="1" applyAlignment="1">
      <alignment horizontal="right"/>
    </xf>
    <xf numFmtId="0" fontId="30" fillId="0" borderId="26" xfId="2" applyFont="1" applyBorder="1" applyAlignment="1">
      <alignment horizontal="right"/>
    </xf>
    <xf numFmtId="15" fontId="22" fillId="0" borderId="0" xfId="0" applyNumberFormat="1" applyFont="1" applyAlignment="1">
      <alignment horizontal="left" wrapText="1"/>
    </xf>
    <xf numFmtId="0" fontId="22" fillId="0" borderId="0" xfId="0" applyFont="1" applyAlignment="1">
      <alignment wrapText="1"/>
    </xf>
    <xf numFmtId="0" fontId="20" fillId="0" borderId="7" xfId="0" applyFont="1" applyBorder="1" applyAlignment="1">
      <alignment vertical="center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20" fillId="0" borderId="45" xfId="0" applyFont="1" applyBorder="1" applyAlignment="1">
      <alignment vertical="center"/>
    </xf>
    <xf numFmtId="0" fontId="5" fillId="0" borderId="46" xfId="0" applyFont="1" applyBorder="1" applyAlignment="1">
      <alignment wrapText="1"/>
    </xf>
    <xf numFmtId="0" fontId="25" fillId="0" borderId="47" xfId="0" applyFont="1" applyBorder="1" applyAlignment="1">
      <alignment wrapText="1"/>
    </xf>
    <xf numFmtId="0" fontId="5" fillId="0" borderId="48" xfId="0" applyFont="1" applyBorder="1" applyAlignment="1">
      <alignment wrapText="1"/>
    </xf>
    <xf numFmtId="0" fontId="13" fillId="0" borderId="7" xfId="0" applyFont="1" applyBorder="1" applyAlignment="1">
      <alignment horizontal="left" vertical="center"/>
    </xf>
    <xf numFmtId="0" fontId="44" fillId="0" borderId="7" xfId="0" applyFont="1" applyBorder="1" applyAlignment="1">
      <alignment horizontal="left" vertical="center"/>
    </xf>
    <xf numFmtId="0" fontId="17" fillId="0" borderId="49" xfId="0" applyFont="1" applyBorder="1"/>
    <xf numFmtId="0" fontId="17" fillId="0" borderId="50" xfId="0" applyFont="1" applyBorder="1"/>
    <xf numFmtId="0" fontId="17" fillId="0" borderId="51" xfId="0" applyFont="1" applyBorder="1"/>
    <xf numFmtId="164" fontId="45" fillId="0" borderId="2" xfId="2" applyNumberFormat="1" applyFont="1" applyBorder="1"/>
    <xf numFmtId="3" fontId="30" fillId="0" borderId="22" xfId="2" applyNumberFormat="1" applyFont="1" applyBorder="1" applyAlignment="1" applyProtection="1">
      <alignment horizontal="center"/>
      <protection locked="0"/>
    </xf>
    <xf numFmtId="0" fontId="46" fillId="0" borderId="18" xfId="7" applyFont="1" applyBorder="1" applyAlignment="1" applyProtection="1">
      <alignment horizontal="left"/>
      <protection locked="0"/>
    </xf>
    <xf numFmtId="165" fontId="31" fillId="0" borderId="22" xfId="7" applyNumberFormat="1" applyFont="1" applyBorder="1" applyAlignment="1" applyProtection="1">
      <alignment horizontal="right"/>
      <protection locked="0"/>
    </xf>
    <xf numFmtId="165" fontId="31" fillId="0" borderId="23" xfId="7" applyNumberFormat="1" applyFont="1" applyBorder="1" applyAlignment="1" applyProtection="1">
      <alignment horizontal="left"/>
      <protection locked="0"/>
    </xf>
    <xf numFmtId="165" fontId="47" fillId="0" borderId="24" xfId="7" applyNumberFormat="1" applyFont="1" applyBorder="1" applyAlignment="1" applyProtection="1">
      <alignment horizontal="right"/>
      <protection locked="0"/>
    </xf>
    <xf numFmtId="165" fontId="47" fillId="0" borderId="23" xfId="7" applyNumberFormat="1" applyFont="1" applyBorder="1" applyAlignment="1" applyProtection="1">
      <alignment horizontal="left"/>
      <protection locked="0"/>
    </xf>
    <xf numFmtId="165" fontId="48" fillId="0" borderId="18" xfId="2" applyNumberFormat="1" applyFont="1" applyBorder="1" applyAlignment="1" applyProtection="1">
      <alignment horizontal="right"/>
      <protection locked="0"/>
    </xf>
    <xf numFmtId="165" fontId="48" fillId="0" borderId="23" xfId="2" applyNumberFormat="1" applyFont="1" applyBorder="1" applyAlignment="1" applyProtection="1">
      <alignment horizontal="left"/>
      <protection locked="0"/>
    </xf>
    <xf numFmtId="15" fontId="31" fillId="0" borderId="0" xfId="2" quotePrefix="1" applyNumberFormat="1" applyFont="1" applyAlignment="1">
      <alignment horizontal="left"/>
    </xf>
    <xf numFmtId="0" fontId="24" fillId="2" borderId="0" xfId="0" applyFont="1" applyFill="1"/>
    <xf numFmtId="1" fontId="17" fillId="0" borderId="0" xfId="0" applyNumberFormat="1" applyFont="1"/>
    <xf numFmtId="0" fontId="22" fillId="0" borderId="0" xfId="0" quotePrefix="1" applyFont="1"/>
    <xf numFmtId="164" fontId="17" fillId="0" borderId="0" xfId="0" applyNumberFormat="1" applyFont="1"/>
    <xf numFmtId="164" fontId="22" fillId="0" borderId="10" xfId="0" applyNumberFormat="1" applyFont="1" applyBorder="1"/>
    <xf numFmtId="0" fontId="49" fillId="0" borderId="0" xfId="0" quotePrefix="1" applyFont="1" applyAlignment="1">
      <alignment horizontal="right"/>
    </xf>
    <xf numFmtId="0" fontId="49" fillId="0" borderId="0" xfId="0" applyFont="1" applyAlignment="1">
      <alignment horizontal="right"/>
    </xf>
    <xf numFmtId="1" fontId="22" fillId="0" borderId="53" xfId="0" applyNumberFormat="1" applyFont="1" applyBorder="1"/>
    <xf numFmtId="0" fontId="17" fillId="0" borderId="53" xfId="0" applyFont="1" applyBorder="1"/>
    <xf numFmtId="164" fontId="22" fillId="0" borderId="53" xfId="0" applyNumberFormat="1" applyFont="1" applyBorder="1"/>
    <xf numFmtId="164" fontId="17" fillId="0" borderId="53" xfId="0" applyNumberFormat="1" applyFont="1" applyBorder="1"/>
    <xf numFmtId="0" fontId="17" fillId="2" borderId="7" xfId="0" applyFont="1" applyFill="1" applyBorder="1"/>
    <xf numFmtId="0" fontId="17" fillId="2" borderId="0" xfId="0" applyFont="1" applyFill="1"/>
    <xf numFmtId="0" fontId="17" fillId="2" borderId="0" xfId="0" applyFont="1" applyFill="1" applyAlignment="1">
      <alignment horizontal="left"/>
    </xf>
    <xf numFmtId="1" fontId="17" fillId="2" borderId="52" xfId="0" applyNumberFormat="1" applyFont="1" applyFill="1" applyBorder="1"/>
    <xf numFmtId="164" fontId="17" fillId="2" borderId="0" xfId="0" applyNumberFormat="1" applyFont="1" applyFill="1"/>
    <xf numFmtId="164" fontId="17" fillId="2" borderId="52" xfId="0" applyNumberFormat="1" applyFont="1" applyFill="1" applyBorder="1"/>
    <xf numFmtId="0" fontId="17" fillId="3" borderId="0" xfId="0" applyFont="1" applyFill="1" applyAlignment="1">
      <alignment horizontal="left"/>
    </xf>
    <xf numFmtId="0" fontId="17" fillId="3" borderId="0" xfId="0" applyFont="1" applyFill="1" applyAlignment="1">
      <alignment wrapText="1"/>
    </xf>
    <xf numFmtId="164" fontId="17" fillId="3" borderId="52" xfId="0" applyNumberFormat="1" applyFont="1" applyFill="1" applyBorder="1"/>
    <xf numFmtId="1" fontId="24" fillId="3" borderId="52" xfId="0" applyNumberFormat="1" applyFont="1" applyFill="1" applyBorder="1"/>
    <xf numFmtId="164" fontId="17" fillId="5" borderId="0" xfId="0" applyNumberFormat="1" applyFont="1" applyFill="1"/>
    <xf numFmtId="0" fontId="24" fillId="6" borderId="7" xfId="0" applyFont="1" applyFill="1" applyBorder="1" applyAlignment="1">
      <alignment wrapText="1"/>
    </xf>
    <xf numFmtId="0" fontId="24" fillId="6" borderId="0" xfId="0" applyFont="1" applyFill="1" applyAlignment="1">
      <alignment wrapText="1"/>
    </xf>
    <xf numFmtId="0" fontId="24" fillId="6" borderId="0" xfId="0" applyFont="1" applyFill="1" applyAlignment="1">
      <alignment horizontal="left" wrapText="1"/>
    </xf>
    <xf numFmtId="0" fontId="24" fillId="6" borderId="0" xfId="0" applyFont="1" applyFill="1" applyAlignment="1">
      <alignment vertical="center"/>
    </xf>
    <xf numFmtId="1" fontId="17" fillId="6" borderId="52" xfId="0" applyNumberFormat="1" applyFont="1" applyFill="1" applyBorder="1"/>
    <xf numFmtId="164" fontId="17" fillId="6" borderId="0" xfId="0" applyNumberFormat="1" applyFont="1" applyFill="1"/>
    <xf numFmtId="164" fontId="17" fillId="6" borderId="52" xfId="0" applyNumberFormat="1" applyFont="1" applyFill="1" applyBorder="1"/>
    <xf numFmtId="0" fontId="24" fillId="7" borderId="0" xfId="0" applyFont="1" applyFill="1" applyAlignment="1">
      <alignment horizontal="left"/>
    </xf>
    <xf numFmtId="0" fontId="24" fillId="8" borderId="7" xfId="0" applyFont="1" applyFill="1" applyBorder="1" applyAlignment="1">
      <alignment wrapText="1"/>
    </xf>
    <xf numFmtId="0" fontId="24" fillId="8" borderId="0" xfId="0" applyFont="1" applyFill="1" applyAlignment="1">
      <alignment wrapText="1"/>
    </xf>
    <xf numFmtId="0" fontId="24" fillId="8" borderId="0" xfId="0" applyFont="1" applyFill="1" applyAlignment="1">
      <alignment horizontal="left"/>
    </xf>
    <xf numFmtId="0" fontId="24" fillId="8" borderId="0" xfId="0" applyFont="1" applyFill="1" applyAlignment="1">
      <alignment horizontal="left" wrapText="1"/>
    </xf>
    <xf numFmtId="0" fontId="24" fillId="8" borderId="0" xfId="0" applyFont="1" applyFill="1" applyAlignment="1">
      <alignment vertical="center"/>
    </xf>
    <xf numFmtId="164" fontId="17" fillId="8" borderId="0" xfId="0" applyNumberFormat="1" applyFont="1" applyFill="1"/>
    <xf numFmtId="164" fontId="17" fillId="8" borderId="52" xfId="0" applyNumberFormat="1" applyFont="1" applyFill="1" applyBorder="1"/>
    <xf numFmtId="1" fontId="24" fillId="0" borderId="0" xfId="2" applyNumberFormat="1" applyFont="1" applyAlignment="1">
      <alignment horizontal="center" vertical="center"/>
    </xf>
    <xf numFmtId="0" fontId="50" fillId="0" borderId="0" xfId="0" applyFont="1"/>
    <xf numFmtId="0" fontId="50" fillId="0" borderId="0" xfId="0" quotePrefix="1" applyFont="1"/>
    <xf numFmtId="0" fontId="51" fillId="0" borderId="0" xfId="0" applyFont="1"/>
    <xf numFmtId="15" fontId="22" fillId="0" borderId="0" xfId="0" applyNumberFormat="1" applyFont="1" applyAlignment="1">
      <alignment horizontal="left"/>
    </xf>
    <xf numFmtId="0" fontId="17" fillId="4" borderId="0" xfId="0" applyFont="1" applyFill="1"/>
    <xf numFmtId="15" fontId="27" fillId="0" borderId="0" xfId="0" applyNumberFormat="1" applyFont="1" applyAlignment="1">
      <alignment horizontal="left"/>
    </xf>
    <xf numFmtId="0" fontId="27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17" fillId="2" borderId="0" xfId="0" applyFont="1" applyFill="1" applyAlignment="1">
      <alignment vertical="center" wrapText="1"/>
    </xf>
    <xf numFmtId="0" fontId="17" fillId="3" borderId="7" xfId="0" applyFont="1" applyFill="1" applyBorder="1" applyAlignment="1">
      <alignment wrapText="1"/>
    </xf>
    <xf numFmtId="0" fontId="24" fillId="3" borderId="0" xfId="0" applyFont="1" applyFill="1" applyAlignment="1">
      <alignment horizontal="left" wrapText="1"/>
    </xf>
    <xf numFmtId="0" fontId="24" fillId="3" borderId="0" xfId="0" applyFont="1" applyFill="1" applyAlignment="1">
      <alignment wrapText="1"/>
    </xf>
    <xf numFmtId="0" fontId="24" fillId="3" borderId="0" xfId="0" applyFont="1" applyFill="1" applyAlignment="1">
      <alignment horizontal="left"/>
    </xf>
    <xf numFmtId="0" fontId="24" fillId="3" borderId="0" xfId="0" applyFont="1" applyFill="1" applyAlignment="1">
      <alignment vertical="center"/>
    </xf>
    <xf numFmtId="0" fontId="24" fillId="3" borderId="0" xfId="0" applyFont="1" applyFill="1" applyAlignment="1">
      <alignment horizontal="center"/>
    </xf>
    <xf numFmtId="164" fontId="24" fillId="3" borderId="0" xfId="0" applyNumberFormat="1" applyFont="1" applyFill="1"/>
    <xf numFmtId="0" fontId="17" fillId="5" borderId="0" xfId="0" applyFont="1" applyFill="1" applyAlignment="1">
      <alignment horizontal="left"/>
    </xf>
    <xf numFmtId="0" fontId="24" fillId="5" borderId="0" xfId="0" applyFont="1" applyFill="1" applyAlignment="1">
      <alignment horizontal="center"/>
    </xf>
    <xf numFmtId="0" fontId="24" fillId="9" borderId="7" xfId="0" applyFont="1" applyFill="1" applyBorder="1" applyAlignment="1">
      <alignment wrapText="1"/>
    </xf>
    <xf numFmtId="0" fontId="24" fillId="9" borderId="0" xfId="0" applyFont="1" applyFill="1" applyAlignment="1">
      <alignment wrapText="1"/>
    </xf>
    <xf numFmtId="0" fontId="17" fillId="9" borderId="0" xfId="0" applyFont="1" applyFill="1" applyAlignment="1">
      <alignment horizontal="left"/>
    </xf>
    <xf numFmtId="0" fontId="24" fillId="9" borderId="0" xfId="0" applyFont="1" applyFill="1" applyAlignment="1">
      <alignment horizontal="left" wrapText="1"/>
    </xf>
    <xf numFmtId="0" fontId="24" fillId="9" borderId="0" xfId="0" applyFont="1" applyFill="1" applyAlignment="1">
      <alignment horizontal="left"/>
    </xf>
    <xf numFmtId="0" fontId="24" fillId="9" borderId="0" xfId="0" applyFont="1" applyFill="1" applyAlignment="1">
      <alignment vertical="center"/>
    </xf>
    <xf numFmtId="0" fontId="24" fillId="9" borderId="0" xfId="0" applyFont="1" applyFill="1" applyAlignment="1">
      <alignment horizontal="center"/>
    </xf>
    <xf numFmtId="1" fontId="24" fillId="9" borderId="52" xfId="0" applyNumberFormat="1" applyFont="1" applyFill="1" applyBorder="1"/>
    <xf numFmtId="164" fontId="24" fillId="9" borderId="0" xfId="0" applyNumberFormat="1" applyFont="1" applyFill="1"/>
    <xf numFmtId="164" fontId="17" fillId="9" borderId="52" xfId="0" applyNumberFormat="1" applyFont="1" applyFill="1" applyBorder="1"/>
    <xf numFmtId="0" fontId="24" fillId="2" borderId="0" xfId="0" quotePrefix="1" applyFont="1" applyFill="1" applyAlignment="1">
      <alignment horizontal="center"/>
    </xf>
    <xf numFmtId="0" fontId="17" fillId="5" borderId="0" xfId="0" applyFont="1" applyFill="1"/>
    <xf numFmtId="0" fontId="17" fillId="5" borderId="0" xfId="0" applyFont="1" applyFill="1" applyAlignment="1">
      <alignment vertical="center" wrapText="1"/>
    </xf>
    <xf numFmtId="0" fontId="17" fillId="5" borderId="7" xfId="0" quotePrefix="1" applyFont="1" applyFill="1" applyBorder="1"/>
    <xf numFmtId="0" fontId="17" fillId="6" borderId="0" xfId="0" applyFont="1" applyFill="1" applyAlignment="1">
      <alignment horizontal="left"/>
    </xf>
    <xf numFmtId="0" fontId="24" fillId="6" borderId="0" xfId="0" applyFont="1" applyFill="1" applyAlignment="1">
      <alignment horizontal="center"/>
    </xf>
    <xf numFmtId="0" fontId="17" fillId="7" borderId="0" xfId="0" applyFont="1" applyFill="1" applyAlignment="1">
      <alignment horizontal="left"/>
    </xf>
    <xf numFmtId="0" fontId="24" fillId="7" borderId="0" xfId="0" applyFont="1" applyFill="1" applyAlignment="1">
      <alignment vertical="center" wrapText="1"/>
    </xf>
    <xf numFmtId="1" fontId="24" fillId="7" borderId="52" xfId="0" applyNumberFormat="1" applyFont="1" applyFill="1" applyBorder="1"/>
    <xf numFmtId="164" fontId="17" fillId="7" borderId="0" xfId="0" applyNumberFormat="1" applyFont="1" applyFill="1"/>
    <xf numFmtId="0" fontId="17" fillId="7" borderId="7" xfId="0" applyFont="1" applyFill="1" applyBorder="1"/>
    <xf numFmtId="0" fontId="17" fillId="7" borderId="0" xfId="0" applyFont="1" applyFill="1" applyAlignment="1">
      <alignment wrapText="1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17" fillId="8" borderId="0" xfId="0" applyFont="1" applyFill="1" applyAlignment="1">
      <alignment horizontal="left"/>
    </xf>
    <xf numFmtId="1" fontId="24" fillId="8" borderId="52" xfId="0" applyNumberFormat="1" applyFont="1" applyFill="1" applyBorder="1"/>
    <xf numFmtId="0" fontId="24" fillId="7" borderId="0" xfId="0" applyFont="1" applyFill="1" applyAlignment="1">
      <alignment horizontal="center"/>
    </xf>
    <xf numFmtId="0" fontId="24" fillId="8" borderId="0" xfId="0" applyFont="1" applyFill="1" applyAlignment="1">
      <alignment horizontal="center"/>
    </xf>
    <xf numFmtId="4" fontId="17" fillId="0" borderId="0" xfId="0" applyNumberFormat="1" applyFont="1"/>
    <xf numFmtId="0" fontId="22" fillId="0" borderId="62" xfId="0" applyFont="1" applyBorder="1" applyAlignment="1">
      <alignment horizontal="center" vertical="center" wrapText="1"/>
    </xf>
    <xf numFmtId="0" fontId="59" fillId="0" borderId="0" xfId="19" applyFont="1" applyAlignment="1" applyProtection="1">
      <alignment vertical="center"/>
      <protection locked="0"/>
    </xf>
    <xf numFmtId="2" fontId="60" fillId="0" borderId="54" xfId="4" applyNumberFormat="1" applyFont="1" applyBorder="1" applyAlignment="1">
      <alignment horizontal="left" vertical="center"/>
    </xf>
    <xf numFmtId="0" fontId="61" fillId="0" borderId="55" xfId="19" applyFont="1" applyBorder="1" applyAlignment="1">
      <alignment horizontal="left" vertical="center"/>
    </xf>
    <xf numFmtId="0" fontId="24" fillId="0" borderId="56" xfId="3" applyFont="1" applyBorder="1"/>
    <xf numFmtId="2" fontId="60" fillId="0" borderId="57" xfId="4" applyNumberFormat="1" applyFont="1" applyBorder="1" applyAlignment="1">
      <alignment horizontal="left" vertical="center"/>
    </xf>
    <xf numFmtId="2" fontId="27" fillId="0" borderId="0" xfId="4" applyNumberFormat="1" applyFont="1" applyProtection="1">
      <protection locked="0"/>
    </xf>
    <xf numFmtId="0" fontId="27" fillId="0" borderId="58" xfId="3" applyFont="1" applyBorder="1"/>
    <xf numFmtId="15" fontId="27" fillId="0" borderId="0" xfId="4" applyNumberFormat="1" applyFont="1" applyAlignment="1" applyProtection="1">
      <alignment horizontal="left"/>
      <protection locked="0"/>
    </xf>
    <xf numFmtId="2" fontId="60" fillId="0" borderId="59" xfId="4" applyNumberFormat="1" applyFont="1" applyBorder="1" applyAlignment="1">
      <alignment horizontal="left" vertical="center"/>
    </xf>
    <xf numFmtId="2" fontId="27" fillId="0" borderId="60" xfId="4" applyNumberFormat="1" applyFont="1" applyBorder="1" applyAlignment="1" applyProtection="1">
      <alignment horizontal="center"/>
      <protection locked="0"/>
    </xf>
    <xf numFmtId="0" fontId="27" fillId="0" borderId="61" xfId="3" applyFont="1" applyBorder="1"/>
    <xf numFmtId="0" fontId="30" fillId="0" borderId="0" xfId="19" applyFont="1" applyAlignment="1" applyProtection="1">
      <alignment vertical="center"/>
      <protection locked="0"/>
    </xf>
    <xf numFmtId="0" fontId="22" fillId="0" borderId="64" xfId="0" applyFont="1" applyBorder="1" applyAlignment="1">
      <alignment horizontal="center" vertical="center" wrapText="1"/>
    </xf>
    <xf numFmtId="164" fontId="39" fillId="3" borderId="0" xfId="0" applyNumberFormat="1" applyFont="1" applyFill="1"/>
    <xf numFmtId="164" fontId="39" fillId="9" borderId="0" xfId="0" applyNumberFormat="1" applyFont="1" applyFill="1"/>
    <xf numFmtId="164" fontId="39" fillId="5" borderId="0" xfId="0" applyNumberFormat="1" applyFont="1" applyFill="1"/>
    <xf numFmtId="164" fontId="39" fillId="6" borderId="0" xfId="0" applyNumberFormat="1" applyFont="1" applyFill="1"/>
    <xf numFmtId="164" fontId="39" fillId="7" borderId="0" xfId="0" applyNumberFormat="1" applyFont="1" applyFill="1"/>
    <xf numFmtId="164" fontId="39" fillId="8" borderId="0" xfId="0" applyNumberFormat="1" applyFont="1" applyFill="1"/>
    <xf numFmtId="164" fontId="4" fillId="0" borderId="10" xfId="0" applyNumberFormat="1" applyFont="1" applyBorder="1" applyAlignment="1">
      <alignment wrapText="1"/>
    </xf>
    <xf numFmtId="0" fontId="39" fillId="7" borderId="0" xfId="0" applyFont="1" applyFill="1"/>
    <xf numFmtId="164" fontId="39" fillId="7" borderId="52" xfId="0" applyNumberFormat="1" applyFont="1" applyFill="1" applyBorder="1"/>
    <xf numFmtId="164" fontId="39" fillId="5" borderId="52" xfId="0" applyNumberFormat="1" applyFont="1" applyFill="1" applyBorder="1"/>
    <xf numFmtId="0" fontId="39" fillId="5" borderId="0" xfId="0" applyFont="1" applyFill="1"/>
    <xf numFmtId="164" fontId="24" fillId="2" borderId="0" xfId="0" applyNumberFormat="1" applyFont="1" applyFill="1"/>
    <xf numFmtId="0" fontId="5" fillId="0" borderId="50" xfId="0" applyFont="1" applyBorder="1" applyAlignment="1">
      <alignment wrapText="1"/>
    </xf>
    <xf numFmtId="0" fontId="29" fillId="8" borderId="65" xfId="0" applyFont="1" applyFill="1" applyBorder="1" applyAlignment="1">
      <alignment vertical="center" wrapText="1"/>
    </xf>
    <xf numFmtId="0" fontId="27" fillId="0" borderId="58" xfId="4" applyFont="1" applyBorder="1" applyProtection="1">
      <protection locked="0"/>
    </xf>
    <xf numFmtId="0" fontId="62" fillId="0" borderId="0" xfId="3" applyFont="1"/>
    <xf numFmtId="0" fontId="55" fillId="0" borderId="0" xfId="3" applyFont="1"/>
    <xf numFmtId="0" fontId="62" fillId="0" borderId="0" xfId="3" applyFont="1" applyAlignment="1">
      <alignment wrapText="1"/>
    </xf>
    <xf numFmtId="0" fontId="63" fillId="0" borderId="0" xfId="3" applyFont="1" applyAlignment="1">
      <alignment horizontal="left"/>
    </xf>
    <xf numFmtId="0" fontId="64" fillId="0" borderId="0" xfId="3" applyFont="1"/>
    <xf numFmtId="0" fontId="63" fillId="0" borderId="0" xfId="3" applyFont="1"/>
    <xf numFmtId="0" fontId="64" fillId="0" borderId="0" xfId="3" applyFont="1" applyAlignment="1">
      <alignment wrapText="1"/>
    </xf>
    <xf numFmtId="0" fontId="5" fillId="0" borderId="0" xfId="5" applyFont="1" applyAlignment="1">
      <alignment horizontal="center"/>
    </xf>
    <xf numFmtId="0" fontId="21" fillId="0" borderId="0" xfId="6" applyFont="1" applyAlignment="1">
      <alignment horizontal="center"/>
    </xf>
    <xf numFmtId="0" fontId="21" fillId="0" borderId="0" xfId="6" applyFont="1" applyAlignment="1">
      <alignment horizontal="center" wrapText="1"/>
    </xf>
    <xf numFmtId="0" fontId="5" fillId="0" borderId="0" xfId="6" applyFont="1" applyAlignment="1">
      <alignment horizontal="center"/>
    </xf>
    <xf numFmtId="0" fontId="66" fillId="0" borderId="0" xfId="1" applyFont="1" applyAlignment="1">
      <alignment horizontal="justify" vertical="center"/>
    </xf>
    <xf numFmtId="0" fontId="64" fillId="0" borderId="0" xfId="1" applyFont="1" applyAlignment="1">
      <alignment horizontal="left" vertical="center"/>
    </xf>
    <xf numFmtId="0" fontId="64" fillId="0" borderId="0" xfId="1" applyFont="1" applyAlignment="1">
      <alignment horizontal="center" vertical="center"/>
    </xf>
    <xf numFmtId="0" fontId="67" fillId="0" borderId="0" xfId="1" applyFont="1" applyAlignment="1">
      <alignment horizontal="left" vertical="center"/>
    </xf>
    <xf numFmtId="0" fontId="67" fillId="0" borderId="0" xfId="1" applyFont="1" applyAlignment="1">
      <alignment horizontal="right" vertical="center"/>
    </xf>
    <xf numFmtId="0" fontId="64" fillId="0" borderId="0" xfId="1" applyFont="1" applyAlignment="1">
      <alignment horizontal="right" vertical="center"/>
    </xf>
    <xf numFmtId="0" fontId="67" fillId="0" borderId="0" xfId="1" applyFont="1" applyAlignment="1">
      <alignment vertical="center"/>
    </xf>
    <xf numFmtId="0" fontId="66" fillId="0" borderId="0" xfId="1" applyFont="1" applyAlignment="1">
      <alignment horizontal="left" vertical="center"/>
    </xf>
    <xf numFmtId="0" fontId="64" fillId="0" borderId="0" xfId="1" applyFont="1" applyAlignment="1">
      <alignment vertical="center"/>
    </xf>
    <xf numFmtId="0" fontId="68" fillId="0" borderId="0" xfId="1" applyFont="1" applyAlignment="1">
      <alignment vertical="center"/>
    </xf>
    <xf numFmtId="0" fontId="68" fillId="0" borderId="0" xfId="1" applyFont="1" applyAlignment="1">
      <alignment horizontal="center" vertical="center"/>
    </xf>
    <xf numFmtId="0" fontId="67" fillId="0" borderId="0" xfId="1" applyFont="1" applyAlignment="1">
      <alignment horizontal="center" vertical="center"/>
    </xf>
    <xf numFmtId="0" fontId="66" fillId="0" borderId="0" xfId="1" applyFont="1" applyAlignment="1">
      <alignment vertical="center"/>
    </xf>
    <xf numFmtId="1" fontId="17" fillId="10" borderId="69" xfId="8" applyNumberFormat="1" applyFont="1" applyFill="1" applyBorder="1" applyAlignment="1" applyProtection="1">
      <alignment horizontal="center" vertical="center"/>
      <protection locked="0"/>
    </xf>
    <xf numFmtId="1" fontId="17" fillId="10" borderId="84" xfId="8" applyNumberFormat="1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>
      <alignment horizontal="center" vertical="center"/>
    </xf>
    <xf numFmtId="0" fontId="55" fillId="14" borderId="69" xfId="1" applyFont="1" applyFill="1" applyBorder="1" applyAlignment="1">
      <alignment horizontal="left" vertical="center"/>
    </xf>
    <xf numFmtId="1" fontId="55" fillId="14" borderId="69" xfId="1" applyNumberFormat="1" applyFont="1" applyFill="1" applyBorder="1" applyAlignment="1">
      <alignment horizontal="center" vertical="center"/>
    </xf>
    <xf numFmtId="1" fontId="17" fillId="0" borderId="70" xfId="8" applyNumberFormat="1" applyFont="1" applyBorder="1" applyAlignment="1">
      <alignment horizontal="center" vertical="center" wrapText="1"/>
    </xf>
    <xf numFmtId="1" fontId="17" fillId="10" borderId="85" xfId="8" applyNumberFormat="1" applyFont="1" applyFill="1" applyBorder="1" applyAlignment="1" applyProtection="1">
      <alignment horizontal="center" vertical="center"/>
      <protection locked="0"/>
    </xf>
    <xf numFmtId="1" fontId="17" fillId="10" borderId="86" xfId="8" applyNumberFormat="1" applyFont="1" applyFill="1" applyBorder="1" applyAlignment="1" applyProtection="1">
      <alignment horizontal="center" vertical="center"/>
      <protection locked="0"/>
    </xf>
    <xf numFmtId="1" fontId="17" fillId="10" borderId="77" xfId="8" applyNumberFormat="1" applyFont="1" applyFill="1" applyBorder="1" applyAlignment="1" applyProtection="1">
      <alignment horizontal="center" vertical="center"/>
      <protection locked="0"/>
    </xf>
    <xf numFmtId="0" fontId="55" fillId="11" borderId="69" xfId="1" applyFont="1" applyFill="1" applyBorder="1" applyAlignment="1">
      <alignment horizontal="left" vertical="center"/>
    </xf>
    <xf numFmtId="1" fontId="55" fillId="11" borderId="69" xfId="1" applyNumberFormat="1" applyFont="1" applyFill="1" applyBorder="1" applyAlignment="1">
      <alignment horizontal="center" vertical="center"/>
    </xf>
    <xf numFmtId="1" fontId="17" fillId="10" borderId="69" xfId="8" applyNumberFormat="1" applyFont="1" applyFill="1" applyBorder="1" applyAlignment="1" applyProtection="1">
      <alignment vertical="center"/>
      <protection locked="0"/>
    </xf>
    <xf numFmtId="0" fontId="17" fillId="0" borderId="69" xfId="0" applyFont="1" applyBorder="1" applyAlignment="1">
      <alignment vertical="center"/>
    </xf>
    <xf numFmtId="0" fontId="17" fillId="10" borderId="69" xfId="8" applyFont="1" applyFill="1" applyBorder="1" applyAlignment="1">
      <alignment horizontal="center" vertical="center" wrapText="1"/>
    </xf>
    <xf numFmtId="0" fontId="17" fillId="0" borderId="69" xfId="8" applyFont="1" applyBorder="1" applyAlignment="1">
      <alignment horizontal="center" vertical="center" wrapText="1"/>
    </xf>
    <xf numFmtId="0" fontId="17" fillId="10" borderId="69" xfId="8" applyFont="1" applyFill="1" applyBorder="1" applyAlignment="1">
      <alignment vertical="center" wrapText="1"/>
    </xf>
    <xf numFmtId="1" fontId="17" fillId="0" borderId="69" xfId="8" applyNumberFormat="1" applyFont="1" applyBorder="1" applyAlignment="1">
      <alignment horizontal="center" vertical="center" wrapText="1"/>
    </xf>
    <xf numFmtId="2" fontId="17" fillId="0" borderId="69" xfId="8" applyNumberFormat="1" applyFont="1" applyBorder="1" applyAlignment="1">
      <alignment horizontal="center" vertical="center" wrapText="1"/>
    </xf>
    <xf numFmtId="1" fontId="17" fillId="10" borderId="72" xfId="8" applyNumberFormat="1" applyFont="1" applyFill="1" applyBorder="1" applyAlignment="1" applyProtection="1">
      <alignment horizontal="center" vertical="center"/>
      <protection locked="0"/>
    </xf>
    <xf numFmtId="1" fontId="17" fillId="0" borderId="72" xfId="8" applyNumberFormat="1" applyFont="1" applyBorder="1" applyAlignment="1" applyProtection="1">
      <alignment horizontal="left" vertical="center"/>
      <protection locked="0"/>
    </xf>
    <xf numFmtId="1" fontId="17" fillId="0" borderId="72" xfId="8" applyNumberFormat="1" applyFont="1" applyBorder="1" applyAlignment="1" applyProtection="1">
      <alignment horizontal="center" vertical="center"/>
      <protection locked="0"/>
    </xf>
    <xf numFmtId="0" fontId="21" fillId="10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63" fillId="0" borderId="0" xfId="1" applyFont="1" applyAlignment="1">
      <alignment horizontal="left" vertical="center"/>
    </xf>
    <xf numFmtId="2" fontId="21" fillId="0" borderId="0" xfId="0" applyNumberFormat="1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5" fillId="0" borderId="0" xfId="0" applyFont="1" applyAlignment="1">
      <alignment wrapText="1"/>
    </xf>
    <xf numFmtId="0" fontId="63" fillId="0" borderId="0" xfId="1" applyFont="1" applyAlignment="1">
      <alignment vertical="center"/>
    </xf>
    <xf numFmtId="2" fontId="65" fillId="0" borderId="0" xfId="0" applyNumberFormat="1" applyFont="1" applyAlignment="1">
      <alignment wrapText="1"/>
    </xf>
    <xf numFmtId="0" fontId="72" fillId="0" borderId="0" xfId="0" applyFont="1" applyAlignment="1">
      <alignment wrapText="1"/>
    </xf>
    <xf numFmtId="0" fontId="69" fillId="0" borderId="0" xfId="0" applyFont="1"/>
    <xf numFmtId="0" fontId="73" fillId="0" borderId="0" xfId="4" applyFont="1" applyAlignment="1" applyProtection="1">
      <alignment horizontal="center" vertical="center"/>
      <protection locked="0"/>
    </xf>
    <xf numFmtId="0" fontId="55" fillId="0" borderId="0" xfId="0" applyFont="1"/>
    <xf numFmtId="0" fontId="63" fillId="0" borderId="0" xfId="3" applyFont="1" applyAlignment="1">
      <alignment vertical="center"/>
    </xf>
    <xf numFmtId="0" fontId="64" fillId="0" borderId="0" xfId="3" applyFont="1" applyAlignment="1">
      <alignment horizontal="center"/>
    </xf>
    <xf numFmtId="0" fontId="64" fillId="0" borderId="0" xfId="3" applyFont="1" applyAlignment="1">
      <alignment horizontal="center" vertical="center"/>
    </xf>
    <xf numFmtId="0" fontId="63" fillId="0" borderId="0" xfId="3" applyFont="1" applyAlignment="1">
      <alignment horizontal="center" vertical="center"/>
    </xf>
    <xf numFmtId="0" fontId="74" fillId="0" borderId="0" xfId="3" applyFont="1"/>
    <xf numFmtId="0" fontId="75" fillId="0" borderId="0" xfId="3" applyFont="1" applyAlignment="1">
      <alignment vertical="center"/>
    </xf>
    <xf numFmtId="0" fontId="76" fillId="0" borderId="0" xfId="3" applyFont="1" applyAlignment="1">
      <alignment horizontal="center"/>
    </xf>
    <xf numFmtId="2" fontId="65" fillId="0" borderId="0" xfId="4" applyNumberFormat="1" applyFont="1" applyAlignment="1">
      <alignment horizontal="left" vertical="center"/>
    </xf>
    <xf numFmtId="2" fontId="65" fillId="0" borderId="0" xfId="4" applyNumberFormat="1" applyFont="1" applyAlignment="1" applyProtection="1">
      <alignment horizontal="center"/>
      <protection locked="0"/>
    </xf>
    <xf numFmtId="0" fontId="21" fillId="0" borderId="0" xfId="6" applyFont="1"/>
    <xf numFmtId="2" fontId="21" fillId="0" borderId="0" xfId="6" applyNumberFormat="1" applyFont="1"/>
    <xf numFmtId="0" fontId="21" fillId="0" borderId="0" xfId="6" applyFont="1" applyAlignment="1">
      <alignment horizontal="center" vertical="center"/>
    </xf>
    <xf numFmtId="0" fontId="77" fillId="0" borderId="0" xfId="6" applyFont="1" applyAlignment="1">
      <alignment horizontal="center" vertical="center"/>
    </xf>
    <xf numFmtId="0" fontId="17" fillId="10" borderId="69" xfId="0" applyFont="1" applyFill="1" applyBorder="1" applyAlignment="1">
      <alignment horizontal="center"/>
    </xf>
    <xf numFmtId="0" fontId="17" fillId="0" borderId="69" xfId="0" applyFont="1" applyBorder="1" applyAlignment="1">
      <alignment horizontal="center"/>
    </xf>
    <xf numFmtId="0" fontId="17" fillId="0" borderId="0" xfId="6" applyFont="1"/>
    <xf numFmtId="0" fontId="17" fillId="0" borderId="0" xfId="6" applyFont="1" applyAlignment="1">
      <alignment horizontal="center"/>
    </xf>
    <xf numFmtId="2" fontId="17" fillId="0" borderId="0" xfId="6" applyNumberFormat="1" applyFont="1"/>
    <xf numFmtId="0" fontId="77" fillId="0" borderId="0" xfId="6" applyFont="1"/>
    <xf numFmtId="0" fontId="64" fillId="0" borderId="0" xfId="6" applyFont="1" applyAlignment="1">
      <alignment vertical="center"/>
    </xf>
    <xf numFmtId="1" fontId="55" fillId="0" borderId="77" xfId="8" applyNumberFormat="1" applyFont="1" applyBorder="1" applyAlignment="1" applyProtection="1">
      <alignment horizontal="center" vertical="center"/>
      <protection locked="0"/>
    </xf>
    <xf numFmtId="1" fontId="55" fillId="10" borderId="77" xfId="8" applyNumberFormat="1" applyFont="1" applyFill="1" applyBorder="1" applyAlignment="1" applyProtection="1">
      <alignment horizontal="center" vertical="center"/>
      <protection locked="0"/>
    </xf>
    <xf numFmtId="167" fontId="55" fillId="10" borderId="77" xfId="11" applyFont="1" applyFill="1" applyBorder="1" applyAlignment="1" applyProtection="1">
      <alignment horizontal="center" vertical="center"/>
      <protection locked="0"/>
    </xf>
    <xf numFmtId="1" fontId="55" fillId="10" borderId="77" xfId="11" applyNumberFormat="1" applyFont="1" applyFill="1" applyBorder="1" applyAlignment="1" applyProtection="1">
      <alignment horizontal="center" vertical="center"/>
      <protection locked="0"/>
    </xf>
    <xf numFmtId="167" fontId="55" fillId="10" borderId="69" xfId="11" applyFont="1" applyFill="1" applyBorder="1" applyAlignment="1" applyProtection="1">
      <alignment horizontal="center" vertical="center"/>
      <protection locked="0"/>
    </xf>
    <xf numFmtId="168" fontId="55" fillId="10" borderId="69" xfId="11" applyNumberFormat="1" applyFont="1" applyFill="1" applyBorder="1" applyAlignment="1" applyProtection="1">
      <alignment horizontal="center" vertical="center"/>
      <protection locked="0"/>
    </xf>
    <xf numFmtId="1" fontId="55" fillId="10" borderId="69" xfId="11" applyNumberFormat="1" applyFont="1" applyFill="1" applyBorder="1" applyAlignment="1" applyProtection="1">
      <alignment horizontal="center" vertical="center"/>
      <protection locked="0"/>
    </xf>
    <xf numFmtId="1" fontId="55" fillId="10" borderId="69" xfId="8" applyNumberFormat="1" applyFont="1" applyFill="1" applyBorder="1" applyAlignment="1" applyProtection="1">
      <alignment horizontal="center" vertical="center"/>
      <protection locked="0"/>
    </xf>
    <xf numFmtId="1" fontId="55" fillId="0" borderId="69" xfId="8" applyNumberFormat="1" applyFont="1" applyBorder="1" applyAlignment="1" applyProtection="1">
      <alignment horizontal="center" vertical="center"/>
      <protection locked="0"/>
    </xf>
    <xf numFmtId="0" fontId="62" fillId="10" borderId="0" xfId="6" applyFont="1" applyFill="1" applyAlignment="1">
      <alignment vertical="center"/>
    </xf>
    <xf numFmtId="0" fontId="55" fillId="10" borderId="0" xfId="6" applyFont="1" applyFill="1" applyAlignment="1">
      <alignment horizontal="center" vertical="center"/>
    </xf>
    <xf numFmtId="0" fontId="62" fillId="10" borderId="0" xfId="6" applyFont="1" applyFill="1" applyAlignment="1">
      <alignment horizontal="center" vertical="center"/>
    </xf>
    <xf numFmtId="2" fontId="62" fillId="10" borderId="0" xfId="6" applyNumberFormat="1" applyFont="1" applyFill="1" applyAlignment="1">
      <alignment horizontal="center" vertical="center"/>
    </xf>
    <xf numFmtId="167" fontId="55" fillId="10" borderId="0" xfId="11" applyFont="1" applyFill="1" applyAlignment="1">
      <alignment vertical="center"/>
    </xf>
    <xf numFmtId="1" fontId="62" fillId="10" borderId="66" xfId="6" applyNumberFormat="1" applyFont="1" applyFill="1" applyBorder="1" applyAlignment="1">
      <alignment horizontal="right" vertical="center"/>
    </xf>
    <xf numFmtId="0" fontId="55" fillId="10" borderId="0" xfId="6" applyFont="1" applyFill="1" applyAlignment="1">
      <alignment horizontal="left" vertical="center"/>
    </xf>
    <xf numFmtId="0" fontId="55" fillId="10" borderId="0" xfId="6" applyFont="1" applyFill="1" applyAlignment="1">
      <alignment vertical="center"/>
    </xf>
    <xf numFmtId="0" fontId="74" fillId="0" borderId="0" xfId="6" applyFont="1" applyAlignment="1">
      <alignment vertical="center"/>
    </xf>
    <xf numFmtId="1" fontId="62" fillId="10" borderId="2" xfId="6" applyNumberFormat="1" applyFont="1" applyFill="1" applyBorder="1" applyAlignment="1">
      <alignment horizontal="right" vertical="center"/>
    </xf>
    <xf numFmtId="2" fontId="62" fillId="10" borderId="2" xfId="6" applyNumberFormat="1" applyFont="1" applyFill="1" applyBorder="1" applyAlignment="1">
      <alignment horizontal="right" vertical="center"/>
    </xf>
    <xf numFmtId="2" fontId="55" fillId="10" borderId="0" xfId="6" applyNumberFormat="1" applyFont="1" applyFill="1" applyAlignment="1">
      <alignment vertical="center"/>
    </xf>
    <xf numFmtId="2" fontId="62" fillId="10" borderId="67" xfId="6" applyNumberFormat="1" applyFont="1" applyFill="1" applyBorder="1" applyAlignment="1">
      <alignment horizontal="right" vertical="center"/>
    </xf>
    <xf numFmtId="0" fontId="70" fillId="0" borderId="0" xfId="6" applyFont="1" applyAlignment="1">
      <alignment horizontal="center"/>
    </xf>
    <xf numFmtId="0" fontId="70" fillId="0" borderId="0" xfId="6" applyFont="1"/>
    <xf numFmtId="0" fontId="74" fillId="0" borderId="0" xfId="6" applyFont="1"/>
    <xf numFmtId="0" fontId="55" fillId="15" borderId="69" xfId="1" applyFont="1" applyFill="1" applyBorder="1" applyAlignment="1">
      <alignment horizontal="left" vertical="center"/>
    </xf>
    <xf numFmtId="1" fontId="55" fillId="15" borderId="69" xfId="1" applyNumberFormat="1" applyFont="1" applyFill="1" applyBorder="1" applyAlignment="1">
      <alignment horizontal="center" vertical="center"/>
    </xf>
    <xf numFmtId="0" fontId="55" fillId="16" borderId="69" xfId="1" applyFont="1" applyFill="1" applyBorder="1" applyAlignment="1">
      <alignment horizontal="left" vertical="center"/>
    </xf>
    <xf numFmtId="1" fontId="55" fillId="16" borderId="69" xfId="1" applyNumberFormat="1" applyFont="1" applyFill="1" applyBorder="1" applyAlignment="1">
      <alignment horizontal="center" vertical="center"/>
    </xf>
    <xf numFmtId="1" fontId="39" fillId="5" borderId="52" xfId="0" applyNumberFormat="1" applyFont="1" applyFill="1" applyBorder="1"/>
    <xf numFmtId="0" fontId="55" fillId="17" borderId="69" xfId="1" applyFont="1" applyFill="1" applyBorder="1" applyAlignment="1">
      <alignment horizontal="left" vertical="center"/>
    </xf>
    <xf numFmtId="1" fontId="55" fillId="17" borderId="69" xfId="1" applyNumberFormat="1" applyFont="1" applyFill="1" applyBorder="1" applyAlignment="1">
      <alignment horizontal="center" vertical="center"/>
    </xf>
    <xf numFmtId="0" fontId="17" fillId="18" borderId="69" xfId="8" applyFont="1" applyFill="1" applyBorder="1" applyAlignment="1">
      <alignment horizontal="center" vertical="center" wrapText="1"/>
    </xf>
    <xf numFmtId="1" fontId="17" fillId="18" borderId="69" xfId="8" applyNumberFormat="1" applyFont="1" applyFill="1" applyBorder="1" applyAlignment="1">
      <alignment horizontal="center" vertical="center" wrapText="1"/>
    </xf>
    <xf numFmtId="0" fontId="55" fillId="18" borderId="69" xfId="1" applyFont="1" applyFill="1" applyBorder="1" applyAlignment="1">
      <alignment horizontal="left" vertical="center"/>
    </xf>
    <xf numFmtId="0" fontId="55" fillId="19" borderId="69" xfId="1" applyFont="1" applyFill="1" applyBorder="1" applyAlignment="1">
      <alignment horizontal="left" vertical="center"/>
    </xf>
    <xf numFmtId="0" fontId="55" fillId="20" borderId="69" xfId="1" applyFont="1" applyFill="1" applyBorder="1" applyAlignment="1">
      <alignment horizontal="left" vertical="center"/>
    </xf>
    <xf numFmtId="1" fontId="55" fillId="20" borderId="69" xfId="1" applyNumberFormat="1" applyFont="1" applyFill="1" applyBorder="1" applyAlignment="1">
      <alignment horizontal="center" vertical="center"/>
    </xf>
    <xf numFmtId="167" fontId="55" fillId="21" borderId="76" xfId="11" applyFont="1" applyFill="1" applyBorder="1" applyAlignment="1" applyProtection="1">
      <alignment horizontal="left" vertical="center"/>
      <protection locked="0"/>
    </xf>
    <xf numFmtId="167" fontId="55" fillId="21" borderId="69" xfId="11" applyFont="1" applyFill="1" applyBorder="1" applyAlignment="1" applyProtection="1">
      <alignment horizontal="left" vertical="center"/>
      <protection locked="0"/>
    </xf>
    <xf numFmtId="167" fontId="55" fillId="24" borderId="76" xfId="11" applyFont="1" applyFill="1" applyBorder="1" applyAlignment="1" applyProtection="1">
      <alignment horizontal="left" vertical="center"/>
      <protection locked="0"/>
    </xf>
    <xf numFmtId="167" fontId="55" fillId="25" borderId="76" xfId="11" applyFont="1" applyFill="1" applyBorder="1" applyAlignment="1" applyProtection="1">
      <alignment horizontal="left" vertical="center"/>
      <protection locked="0"/>
    </xf>
    <xf numFmtId="167" fontId="55" fillId="25" borderId="69" xfId="11" applyFont="1" applyFill="1" applyBorder="1" applyAlignment="1" applyProtection="1">
      <alignment horizontal="left" vertical="center"/>
      <protection locked="0"/>
    </xf>
    <xf numFmtId="167" fontId="55" fillId="26" borderId="76" xfId="11" applyFont="1" applyFill="1" applyBorder="1" applyAlignment="1" applyProtection="1">
      <alignment horizontal="left" vertical="center"/>
      <protection locked="0"/>
    </xf>
    <xf numFmtId="167" fontId="55" fillId="26" borderId="69" xfId="11" applyFont="1" applyFill="1" applyBorder="1" applyAlignment="1" applyProtection="1">
      <alignment horizontal="left" vertical="center"/>
      <protection locked="0"/>
    </xf>
    <xf numFmtId="1" fontId="55" fillId="27" borderId="69" xfId="8" applyNumberFormat="1" applyFont="1" applyFill="1" applyBorder="1" applyAlignment="1" applyProtection="1">
      <alignment horizontal="left" vertical="center"/>
      <protection locked="0"/>
    </xf>
    <xf numFmtId="167" fontId="55" fillId="27" borderId="69" xfId="11" applyFont="1" applyFill="1" applyBorder="1" applyAlignment="1" applyProtection="1">
      <alignment horizontal="left" vertical="center"/>
      <protection locked="0"/>
    </xf>
    <xf numFmtId="167" fontId="55" fillId="28" borderId="76" xfId="11" applyFont="1" applyFill="1" applyBorder="1" applyAlignment="1" applyProtection="1">
      <alignment horizontal="left" vertical="center"/>
      <protection locked="0"/>
    </xf>
    <xf numFmtId="167" fontId="55" fillId="28" borderId="69" xfId="11" applyFont="1" applyFill="1" applyBorder="1" applyAlignment="1" applyProtection="1">
      <alignment horizontal="left" vertical="center"/>
      <protection locked="0"/>
    </xf>
    <xf numFmtId="1" fontId="55" fillId="22" borderId="69" xfId="8" applyNumberFormat="1" applyFont="1" applyFill="1" applyBorder="1" applyAlignment="1" applyProtection="1">
      <alignment horizontal="left" vertical="center" wrapText="1"/>
      <protection locked="0"/>
    </xf>
    <xf numFmtId="1" fontId="55" fillId="23" borderId="69" xfId="8" applyNumberFormat="1" applyFont="1" applyFill="1" applyBorder="1" applyAlignment="1" applyProtection="1">
      <alignment horizontal="left" vertical="center" wrapText="1"/>
      <protection locked="0"/>
    </xf>
    <xf numFmtId="1" fontId="55" fillId="29" borderId="69" xfId="8" applyNumberFormat="1" applyFont="1" applyFill="1" applyBorder="1" applyAlignment="1" applyProtection="1">
      <alignment horizontal="left" vertical="center" wrapText="1"/>
      <protection locked="0"/>
    </xf>
    <xf numFmtId="1" fontId="17" fillId="10" borderId="91" xfId="8" applyNumberFormat="1" applyFont="1" applyFill="1" applyBorder="1" applyAlignment="1" applyProtection="1">
      <alignment horizontal="center" vertical="center"/>
      <protection locked="0"/>
    </xf>
    <xf numFmtId="1" fontId="17" fillId="10" borderId="91" xfId="8" applyNumberFormat="1" applyFont="1" applyFill="1" applyBorder="1" applyAlignment="1" applyProtection="1">
      <alignment vertical="center"/>
      <protection locked="0"/>
    </xf>
    <xf numFmtId="0" fontId="17" fillId="10" borderId="91" xfId="8" applyFont="1" applyFill="1" applyBorder="1" applyAlignment="1">
      <alignment horizontal="center" vertical="center" wrapText="1"/>
    </xf>
    <xf numFmtId="0" fontId="17" fillId="10" borderId="91" xfId="0" applyFont="1" applyFill="1" applyBorder="1" applyAlignment="1">
      <alignment horizontal="center"/>
    </xf>
    <xf numFmtId="1" fontId="17" fillId="10" borderId="94" xfId="8" applyNumberFormat="1" applyFont="1" applyFill="1" applyBorder="1" applyAlignment="1" applyProtection="1">
      <alignment horizontal="center" vertical="center"/>
      <protection locked="0"/>
    </xf>
    <xf numFmtId="0" fontId="17" fillId="0" borderId="7" xfId="6" applyFont="1" applyBorder="1"/>
    <xf numFmtId="0" fontId="17" fillId="0" borderId="8" xfId="6" applyFont="1" applyBorder="1"/>
    <xf numFmtId="167" fontId="55" fillId="10" borderId="99" xfId="11" applyFont="1" applyFill="1" applyBorder="1" applyAlignment="1" applyProtection="1">
      <alignment vertical="center"/>
      <protection locked="0"/>
    </xf>
    <xf numFmtId="1" fontId="55" fillId="0" borderId="70" xfId="1" applyNumberFormat="1" applyFont="1" applyBorder="1" applyAlignment="1">
      <alignment horizontal="center" vertical="center"/>
    </xf>
    <xf numFmtId="1" fontId="17" fillId="0" borderId="92" xfId="8" applyNumberFormat="1" applyFont="1" applyBorder="1" applyAlignment="1" applyProtection="1">
      <alignment horizontal="center" vertical="center"/>
      <protection locked="0"/>
    </xf>
    <xf numFmtId="1" fontId="17" fillId="0" borderId="85" xfId="8" applyNumberFormat="1" applyFont="1" applyBorder="1" applyAlignment="1">
      <alignment horizontal="center" vertical="center" wrapText="1"/>
    </xf>
    <xf numFmtId="1" fontId="17" fillId="0" borderId="77" xfId="8" applyNumberFormat="1" applyFont="1" applyBorder="1" applyAlignment="1">
      <alignment horizontal="center" vertical="center" wrapText="1"/>
    </xf>
    <xf numFmtId="2" fontId="17" fillId="0" borderId="77" xfId="8" applyNumberFormat="1" applyFont="1" applyBorder="1" applyAlignment="1">
      <alignment horizontal="center" vertical="center" wrapText="1"/>
    </xf>
    <xf numFmtId="0" fontId="17" fillId="0" borderId="93" xfId="8" applyFont="1" applyBorder="1" applyAlignment="1">
      <alignment horizontal="center" vertical="center" wrapText="1"/>
    </xf>
    <xf numFmtId="1" fontId="17" fillId="0" borderId="104" xfId="8" applyNumberFormat="1" applyFont="1" applyBorder="1" applyAlignment="1">
      <alignment horizontal="center" vertical="center" wrapText="1"/>
    </xf>
    <xf numFmtId="1" fontId="17" fillId="0" borderId="105" xfId="8" applyNumberFormat="1" applyFont="1" applyBorder="1" applyAlignment="1" applyProtection="1">
      <alignment horizontal="center" vertical="center"/>
      <protection locked="0"/>
    </xf>
    <xf numFmtId="2" fontId="17" fillId="0" borderId="105" xfId="8" applyNumberFormat="1" applyFont="1" applyBorder="1" applyAlignment="1" applyProtection="1">
      <alignment horizontal="center" vertical="center"/>
      <protection locked="0"/>
    </xf>
    <xf numFmtId="1" fontId="17" fillId="0" borderId="106" xfId="8" applyNumberFormat="1" applyFont="1" applyBorder="1" applyAlignment="1" applyProtection="1">
      <alignment horizontal="center" vertical="center"/>
      <protection locked="0"/>
    </xf>
    <xf numFmtId="1" fontId="17" fillId="0" borderId="83" xfId="8" applyNumberFormat="1" applyFont="1" applyBorder="1" applyAlignment="1">
      <alignment vertical="center" wrapText="1"/>
    </xf>
    <xf numFmtId="2" fontId="17" fillId="0" borderId="83" xfId="8" applyNumberFormat="1" applyFont="1" applyBorder="1" applyAlignment="1">
      <alignment vertical="center" wrapText="1"/>
    </xf>
    <xf numFmtId="1" fontId="17" fillId="0" borderId="83" xfId="8" applyNumberFormat="1" applyFont="1" applyBorder="1" applyAlignment="1" applyProtection="1">
      <alignment vertical="center"/>
      <protection locked="0"/>
    </xf>
    <xf numFmtId="1" fontId="17" fillId="2" borderId="70" xfId="8" applyNumberFormat="1" applyFont="1" applyFill="1" applyBorder="1" applyAlignment="1" applyProtection="1">
      <alignment horizontal="center" vertical="center" wrapText="1"/>
      <protection locked="0"/>
    </xf>
    <xf numFmtId="1" fontId="17" fillId="3" borderId="70" xfId="8" applyNumberFormat="1" applyFont="1" applyFill="1" applyBorder="1" applyAlignment="1" applyProtection="1">
      <alignment horizontal="center" vertical="center" wrapText="1"/>
      <protection locked="0"/>
    </xf>
    <xf numFmtId="1" fontId="17" fillId="9" borderId="70" xfId="8" applyNumberFormat="1" applyFont="1" applyFill="1" applyBorder="1" applyAlignment="1" applyProtection="1">
      <alignment horizontal="center" vertical="center" wrapText="1"/>
      <protection locked="0"/>
    </xf>
    <xf numFmtId="1" fontId="17" fillId="30" borderId="70" xfId="8" applyNumberFormat="1" applyFont="1" applyFill="1" applyBorder="1" applyAlignment="1" applyProtection="1">
      <alignment horizontal="center" vertical="center" wrapText="1"/>
      <protection locked="0"/>
    </xf>
    <xf numFmtId="1" fontId="17" fillId="31" borderId="70" xfId="8" applyNumberFormat="1" applyFont="1" applyFill="1" applyBorder="1" applyAlignment="1" applyProtection="1">
      <alignment horizontal="center" vertical="center" wrapText="1"/>
      <protection locked="0"/>
    </xf>
    <xf numFmtId="0" fontId="17" fillId="6" borderId="70" xfId="8" applyFont="1" applyFill="1" applyBorder="1" applyAlignment="1">
      <alignment horizontal="center" vertical="center" wrapText="1"/>
    </xf>
    <xf numFmtId="0" fontId="17" fillId="6" borderId="69" xfId="8" applyFont="1" applyFill="1" applyBorder="1" applyAlignment="1">
      <alignment horizontal="center" vertical="center" wrapText="1"/>
    </xf>
    <xf numFmtId="1" fontId="17" fillId="6" borderId="70" xfId="8" applyNumberFormat="1" applyFont="1" applyFill="1" applyBorder="1" applyAlignment="1" applyProtection="1">
      <alignment horizontal="center" vertical="center" wrapText="1"/>
      <protection locked="0"/>
    </xf>
    <xf numFmtId="1" fontId="17" fillId="8" borderId="70" xfId="8" applyNumberFormat="1" applyFont="1" applyFill="1" applyBorder="1" applyAlignment="1" applyProtection="1">
      <alignment horizontal="center" vertical="center" wrapText="1"/>
      <protection locked="0"/>
    </xf>
    <xf numFmtId="0" fontId="62" fillId="12" borderId="83" xfId="7" applyFont="1" applyFill="1" applyBorder="1" applyAlignment="1">
      <alignment horizontal="center" vertical="center" wrapText="1"/>
    </xf>
    <xf numFmtId="1" fontId="62" fillId="12" borderId="83" xfId="7" applyNumberFormat="1" applyFont="1" applyFill="1" applyBorder="1" applyAlignment="1" applyProtection="1">
      <alignment horizontal="center" vertical="center"/>
      <protection locked="0"/>
    </xf>
    <xf numFmtId="167" fontId="62" fillId="10" borderId="101" xfId="11" applyFont="1" applyFill="1" applyBorder="1" applyAlignment="1" applyProtection="1">
      <alignment horizontal="center" vertical="center"/>
      <protection locked="0"/>
    </xf>
    <xf numFmtId="1" fontId="62" fillId="10" borderId="101" xfId="11" applyNumberFormat="1" applyFont="1" applyFill="1" applyBorder="1" applyAlignment="1" applyProtection="1">
      <alignment vertical="center"/>
      <protection locked="0"/>
    </xf>
    <xf numFmtId="167" fontId="62" fillId="0" borderId="102" xfId="11" applyFont="1" applyBorder="1" applyAlignment="1" applyProtection="1">
      <alignment vertical="center"/>
      <protection locked="0"/>
    </xf>
    <xf numFmtId="1" fontId="22" fillId="0" borderId="74" xfId="8" applyNumberFormat="1" applyFont="1" applyBorder="1" applyAlignment="1" applyProtection="1">
      <alignment horizontal="center" vertical="center"/>
      <protection locked="0"/>
    </xf>
    <xf numFmtId="2" fontId="22" fillId="0" borderId="74" xfId="8" applyNumberFormat="1" applyFont="1" applyBorder="1" applyAlignment="1" applyProtection="1">
      <alignment horizontal="center" vertical="center"/>
      <protection locked="0"/>
    </xf>
    <xf numFmtId="1" fontId="17" fillId="10" borderId="98" xfId="8" applyNumberFormat="1" applyFont="1" applyFill="1" applyBorder="1" applyAlignment="1" applyProtection="1">
      <alignment horizontal="center" vertical="center"/>
      <protection locked="0"/>
    </xf>
    <xf numFmtId="0" fontId="17" fillId="0" borderId="77" xfId="0" applyFont="1" applyBorder="1" applyAlignment="1">
      <alignment horizontal="center" vertical="center"/>
    </xf>
    <xf numFmtId="1" fontId="55" fillId="0" borderId="85" xfId="1" applyNumberFormat="1" applyFont="1" applyBorder="1" applyAlignment="1">
      <alignment horizontal="center" vertical="center"/>
    </xf>
    <xf numFmtId="0" fontId="55" fillId="11" borderId="77" xfId="1" applyFont="1" applyFill="1" applyBorder="1" applyAlignment="1">
      <alignment horizontal="left" vertical="center"/>
    </xf>
    <xf numFmtId="1" fontId="55" fillId="11" borderId="77" xfId="1" applyNumberFormat="1" applyFont="1" applyFill="1" applyBorder="1" applyAlignment="1">
      <alignment horizontal="center" vertical="center"/>
    </xf>
    <xf numFmtId="1" fontId="17" fillId="3" borderId="85" xfId="8" applyNumberFormat="1" applyFont="1" applyFill="1" applyBorder="1" applyAlignment="1" applyProtection="1">
      <alignment horizontal="center" vertical="center" wrapText="1"/>
      <protection locked="0"/>
    </xf>
    <xf numFmtId="1" fontId="17" fillId="10" borderId="100" xfId="8" applyNumberFormat="1" applyFont="1" applyFill="1" applyBorder="1" applyAlignment="1" applyProtection="1">
      <alignment horizontal="center" vertical="center"/>
      <protection locked="0"/>
    </xf>
    <xf numFmtId="1" fontId="17" fillId="10" borderId="107" xfId="8" applyNumberFormat="1" applyFont="1" applyFill="1" applyBorder="1" applyAlignment="1" applyProtection="1">
      <alignment horizontal="center" vertical="center"/>
      <protection locked="0"/>
    </xf>
    <xf numFmtId="0" fontId="17" fillId="0" borderId="101" xfId="0" applyFont="1" applyBorder="1" applyAlignment="1">
      <alignment horizontal="center" vertical="center"/>
    </xf>
    <xf numFmtId="1" fontId="55" fillId="0" borderId="101" xfId="1" applyNumberFormat="1" applyFont="1" applyBorder="1" applyAlignment="1">
      <alignment horizontal="center" vertical="center"/>
    </xf>
    <xf numFmtId="0" fontId="55" fillId="14" borderId="101" xfId="1" applyFont="1" applyFill="1" applyBorder="1" applyAlignment="1">
      <alignment horizontal="left" vertical="center"/>
    </xf>
    <xf numFmtId="1" fontId="17" fillId="2" borderId="101" xfId="8" applyNumberFormat="1" applyFont="1" applyFill="1" applyBorder="1" applyAlignment="1" applyProtection="1">
      <alignment horizontal="center" vertical="center" wrapText="1"/>
      <protection locked="0"/>
    </xf>
    <xf numFmtId="1" fontId="17" fillId="0" borderId="101" xfId="8" applyNumberFormat="1" applyFont="1" applyBorder="1" applyAlignment="1">
      <alignment horizontal="center" vertical="center" wrapText="1"/>
    </xf>
    <xf numFmtId="2" fontId="17" fillId="0" borderId="101" xfId="8" applyNumberFormat="1" applyFont="1" applyBorder="1" applyAlignment="1">
      <alignment horizontal="center" vertical="center" wrapText="1"/>
    </xf>
    <xf numFmtId="1" fontId="17" fillId="0" borderId="102" xfId="8" applyNumberFormat="1" applyFont="1" applyBorder="1" applyAlignment="1" applyProtection="1">
      <alignment horizontal="center" vertical="center"/>
      <protection locked="0"/>
    </xf>
    <xf numFmtId="0" fontId="55" fillId="16" borderId="77" xfId="1" applyFont="1" applyFill="1" applyBorder="1" applyAlignment="1">
      <alignment horizontal="left" vertical="center"/>
    </xf>
    <xf numFmtId="1" fontId="55" fillId="16" borderId="77" xfId="1" applyNumberFormat="1" applyFont="1" applyFill="1" applyBorder="1" applyAlignment="1">
      <alignment horizontal="center" vertical="center"/>
    </xf>
    <xf numFmtId="1" fontId="17" fillId="30" borderId="85" xfId="8" applyNumberFormat="1" applyFont="1" applyFill="1" applyBorder="1" applyAlignment="1" applyProtection="1">
      <alignment horizontal="center" vertical="center" wrapText="1"/>
      <protection locked="0"/>
    </xf>
    <xf numFmtId="1" fontId="17" fillId="10" borderId="101" xfId="8" applyNumberFormat="1" applyFont="1" applyFill="1" applyBorder="1" applyAlignment="1" applyProtection="1">
      <alignment horizontal="center" vertical="center"/>
      <protection locked="0"/>
    </xf>
    <xf numFmtId="0" fontId="55" fillId="11" borderId="101" xfId="1" applyFont="1" applyFill="1" applyBorder="1" applyAlignment="1">
      <alignment horizontal="left" vertical="center"/>
    </xf>
    <xf numFmtId="1" fontId="55" fillId="11" borderId="101" xfId="1" applyNumberFormat="1" applyFont="1" applyFill="1" applyBorder="1" applyAlignment="1">
      <alignment horizontal="center" vertical="center"/>
    </xf>
    <xf numFmtId="1" fontId="17" fillId="3" borderId="101" xfId="8" applyNumberFormat="1" applyFont="1" applyFill="1" applyBorder="1" applyAlignment="1" applyProtection="1">
      <alignment horizontal="center" vertical="center" wrapText="1"/>
      <protection locked="0"/>
    </xf>
    <xf numFmtId="0" fontId="55" fillId="15" borderId="77" xfId="1" applyFont="1" applyFill="1" applyBorder="1" applyAlignment="1">
      <alignment horizontal="left" vertical="center"/>
    </xf>
    <xf numFmtId="1" fontId="55" fillId="15" borderId="77" xfId="1" applyNumberFormat="1" applyFont="1" applyFill="1" applyBorder="1" applyAlignment="1">
      <alignment horizontal="center" vertical="center"/>
    </xf>
    <xf numFmtId="1" fontId="5" fillId="31" borderId="85" xfId="8" applyNumberFormat="1" applyFont="1" applyFill="1" applyBorder="1" applyAlignment="1" applyProtection="1">
      <alignment horizontal="center" vertical="center" wrapText="1"/>
      <protection locked="0"/>
    </xf>
    <xf numFmtId="1" fontId="17" fillId="31" borderId="85" xfId="8" applyNumberFormat="1" applyFont="1" applyFill="1" applyBorder="1" applyAlignment="1" applyProtection="1">
      <alignment horizontal="center" vertical="center" wrapText="1"/>
      <protection locked="0"/>
    </xf>
    <xf numFmtId="0" fontId="55" fillId="16" borderId="101" xfId="1" applyFont="1" applyFill="1" applyBorder="1" applyAlignment="1">
      <alignment horizontal="left" vertical="center"/>
    </xf>
    <xf numFmtId="1" fontId="55" fillId="16" borderId="101" xfId="1" applyNumberFormat="1" applyFont="1" applyFill="1" applyBorder="1" applyAlignment="1">
      <alignment horizontal="center" vertical="center"/>
    </xf>
    <xf numFmtId="1" fontId="17" fillId="30" borderId="101" xfId="8" applyNumberFormat="1" applyFont="1" applyFill="1" applyBorder="1" applyAlignment="1" applyProtection="1">
      <alignment horizontal="center" vertical="center" wrapText="1"/>
      <protection locked="0"/>
    </xf>
    <xf numFmtId="0" fontId="17" fillId="10" borderId="98" xfId="8" applyFont="1" applyFill="1" applyBorder="1" applyAlignment="1">
      <alignment horizontal="center" vertical="center" wrapText="1"/>
    </xf>
    <xf numFmtId="0" fontId="17" fillId="10" borderId="77" xfId="8" applyFont="1" applyFill="1" applyBorder="1" applyAlignment="1">
      <alignment horizontal="center" vertical="center" wrapText="1"/>
    </xf>
    <xf numFmtId="0" fontId="17" fillId="18" borderId="77" xfId="8" applyFont="1" applyFill="1" applyBorder="1" applyAlignment="1">
      <alignment horizontal="center" vertical="center" wrapText="1"/>
    </xf>
    <xf numFmtId="1" fontId="17" fillId="18" borderId="77" xfId="8" applyNumberFormat="1" applyFont="1" applyFill="1" applyBorder="1" applyAlignment="1">
      <alignment horizontal="center" vertical="center" wrapText="1"/>
    </xf>
    <xf numFmtId="0" fontId="17" fillId="6" borderId="85" xfId="8" applyFont="1" applyFill="1" applyBorder="1" applyAlignment="1">
      <alignment horizontal="center" vertical="center" wrapText="1"/>
    </xf>
    <xf numFmtId="0" fontId="17" fillId="6" borderId="77" xfId="8" applyFont="1" applyFill="1" applyBorder="1" applyAlignment="1">
      <alignment horizontal="center" vertical="center" wrapText="1"/>
    </xf>
    <xf numFmtId="0" fontId="17" fillId="0" borderId="77" xfId="8" applyFont="1" applyBorder="1" applyAlignment="1">
      <alignment horizontal="center" vertical="center" wrapText="1"/>
    </xf>
    <xf numFmtId="1" fontId="17" fillId="10" borderId="100" xfId="8" applyNumberFormat="1" applyFont="1" applyFill="1" applyBorder="1" applyAlignment="1" applyProtection="1">
      <alignment vertical="center"/>
      <protection locked="0"/>
    </xf>
    <xf numFmtId="1" fontId="17" fillId="10" borderId="101" xfId="8" applyNumberFormat="1" applyFont="1" applyFill="1" applyBorder="1" applyAlignment="1" applyProtection="1">
      <alignment vertical="center"/>
      <protection locked="0"/>
    </xf>
    <xf numFmtId="0" fontId="17" fillId="0" borderId="101" xfId="0" applyFont="1" applyBorder="1" applyAlignment="1">
      <alignment vertical="center"/>
    </xf>
    <xf numFmtId="0" fontId="55" fillId="15" borderId="101" xfId="1" applyFont="1" applyFill="1" applyBorder="1" applyAlignment="1">
      <alignment horizontal="left" vertical="center"/>
    </xf>
    <xf numFmtId="1" fontId="55" fillId="15" borderId="101" xfId="1" applyNumberFormat="1" applyFont="1" applyFill="1" applyBorder="1" applyAlignment="1">
      <alignment horizontal="center" vertical="center"/>
    </xf>
    <xf numFmtId="1" fontId="17" fillId="31" borderId="101" xfId="8" applyNumberFormat="1" applyFont="1" applyFill="1" applyBorder="1" applyAlignment="1" applyProtection="1">
      <alignment horizontal="center" vertical="center" wrapText="1"/>
      <protection locked="0"/>
    </xf>
    <xf numFmtId="0" fontId="55" fillId="17" borderId="77" xfId="1" applyFont="1" applyFill="1" applyBorder="1" applyAlignment="1">
      <alignment horizontal="left" vertical="center"/>
    </xf>
    <xf numFmtId="1" fontId="55" fillId="17" borderId="77" xfId="1" applyNumberFormat="1" applyFont="1" applyFill="1" applyBorder="1" applyAlignment="1">
      <alignment horizontal="center" vertical="center"/>
    </xf>
    <xf numFmtId="1" fontId="17" fillId="9" borderId="85" xfId="8" applyNumberFormat="1" applyFont="1" applyFill="1" applyBorder="1" applyAlignment="1" applyProtection="1">
      <alignment horizontal="center" vertical="center" wrapText="1"/>
      <protection locked="0"/>
    </xf>
    <xf numFmtId="1" fontId="17" fillId="0" borderId="82" xfId="8" applyNumberFormat="1" applyFont="1" applyBorder="1" applyAlignment="1">
      <alignment horizontal="center" vertical="center" wrapText="1"/>
    </xf>
    <xf numFmtId="1" fontId="17" fillId="0" borderId="108" xfId="8" applyNumberFormat="1" applyFont="1" applyBorder="1" applyAlignment="1">
      <alignment vertical="center" wrapText="1"/>
    </xf>
    <xf numFmtId="2" fontId="17" fillId="0" borderId="108" xfId="8" applyNumberFormat="1" applyFont="1" applyBorder="1" applyAlignment="1">
      <alignment vertical="center" wrapText="1"/>
    </xf>
    <xf numFmtId="0" fontId="17" fillId="10" borderId="101" xfId="8" applyFont="1" applyFill="1" applyBorder="1" applyAlignment="1">
      <alignment horizontal="center" vertical="center" wrapText="1"/>
    </xf>
    <xf numFmtId="0" fontId="55" fillId="19" borderId="101" xfId="1" applyFont="1" applyFill="1" applyBorder="1" applyAlignment="1">
      <alignment horizontal="left" vertical="center"/>
    </xf>
    <xf numFmtId="0" fontId="17" fillId="6" borderId="101" xfId="8" applyFont="1" applyFill="1" applyBorder="1" applyAlignment="1">
      <alignment horizontal="center" vertical="center" wrapText="1"/>
    </xf>
    <xf numFmtId="1" fontId="17" fillId="6" borderId="101" xfId="8" applyNumberFormat="1" applyFont="1" applyFill="1" applyBorder="1" applyAlignment="1" applyProtection="1">
      <alignment horizontal="center" vertical="center" wrapText="1"/>
      <protection locked="0"/>
    </xf>
    <xf numFmtId="0" fontId="55" fillId="20" borderId="77" xfId="1" applyFont="1" applyFill="1" applyBorder="1" applyAlignment="1">
      <alignment horizontal="left" vertical="center"/>
    </xf>
    <xf numFmtId="1" fontId="55" fillId="20" borderId="77" xfId="1" applyNumberFormat="1" applyFont="1" applyFill="1" applyBorder="1" applyAlignment="1">
      <alignment horizontal="center" vertical="center"/>
    </xf>
    <xf numFmtId="1" fontId="5" fillId="8" borderId="85" xfId="8" applyNumberFormat="1" applyFont="1" applyFill="1" applyBorder="1" applyAlignment="1" applyProtection="1">
      <alignment horizontal="center" vertical="center" wrapText="1"/>
      <protection locked="0"/>
    </xf>
    <xf numFmtId="1" fontId="78" fillId="8" borderId="85" xfId="8" applyNumberFormat="1" applyFont="1" applyFill="1" applyBorder="1" applyAlignment="1" applyProtection="1">
      <alignment horizontal="center" vertical="center" wrapText="1"/>
      <protection locked="0"/>
    </xf>
    <xf numFmtId="0" fontId="17" fillId="10" borderId="100" xfId="0" applyFont="1" applyFill="1" applyBorder="1" applyAlignment="1">
      <alignment horizontal="center"/>
    </xf>
    <xf numFmtId="0" fontId="17" fillId="0" borderId="101" xfId="0" applyFont="1" applyBorder="1" applyAlignment="1">
      <alignment horizontal="center"/>
    </xf>
    <xf numFmtId="0" fontId="55" fillId="17" borderId="101" xfId="1" applyFont="1" applyFill="1" applyBorder="1" applyAlignment="1">
      <alignment horizontal="left" vertical="center"/>
    </xf>
    <xf numFmtId="1" fontId="55" fillId="17" borderId="101" xfId="1" applyNumberFormat="1" applyFont="1" applyFill="1" applyBorder="1" applyAlignment="1">
      <alignment horizontal="center" vertical="center"/>
    </xf>
    <xf numFmtId="1" fontId="17" fillId="9" borderId="101" xfId="8" applyNumberFormat="1" applyFont="1" applyFill="1" applyBorder="1" applyAlignment="1" applyProtection="1">
      <alignment horizontal="center" vertical="center" wrapText="1"/>
      <protection locked="0"/>
    </xf>
    <xf numFmtId="1" fontId="17" fillId="0" borderId="109" xfId="8" applyNumberFormat="1" applyFont="1" applyBorder="1" applyAlignment="1">
      <alignment horizontal="center" vertical="center" wrapText="1"/>
    </xf>
    <xf numFmtId="1" fontId="17" fillId="0" borderId="110" xfId="8" applyNumberFormat="1" applyFont="1" applyBorder="1" applyAlignment="1">
      <alignment vertical="center" wrapText="1"/>
    </xf>
    <xf numFmtId="2" fontId="17" fillId="0" borderId="110" xfId="8" applyNumberFormat="1" applyFont="1" applyBorder="1" applyAlignment="1">
      <alignment vertical="center" wrapText="1"/>
    </xf>
    <xf numFmtId="1" fontId="17" fillId="0" borderId="110" xfId="8" applyNumberFormat="1" applyFont="1" applyBorder="1" applyAlignment="1" applyProtection="1">
      <alignment vertical="center"/>
      <protection locked="0"/>
    </xf>
    <xf numFmtId="4" fontId="67" fillId="0" borderId="0" xfId="1" applyNumberFormat="1" applyFont="1" applyAlignment="1">
      <alignment horizontal="center" vertical="center"/>
    </xf>
    <xf numFmtId="4" fontId="64" fillId="0" borderId="0" xfId="6" applyNumberFormat="1" applyFont="1" applyAlignment="1">
      <alignment vertical="center"/>
    </xf>
    <xf numFmtId="1" fontId="39" fillId="0" borderId="108" xfId="8" applyNumberFormat="1" applyFont="1" applyBorder="1" applyAlignment="1" applyProtection="1">
      <alignment vertical="center"/>
      <protection locked="0"/>
    </xf>
    <xf numFmtId="1" fontId="39" fillId="0" borderId="92" xfId="8" applyNumberFormat="1" applyFont="1" applyBorder="1" applyAlignment="1" applyProtection="1">
      <alignment horizontal="center" vertical="center"/>
      <protection locked="0"/>
    </xf>
    <xf numFmtId="0" fontId="39" fillId="0" borderId="99" xfId="8" applyFont="1" applyBorder="1" applyAlignment="1">
      <alignment horizontal="center" vertical="center" wrapText="1"/>
    </xf>
    <xf numFmtId="1" fontId="39" fillId="0" borderId="103" xfId="8" applyNumberFormat="1" applyFont="1" applyBorder="1" applyAlignment="1" applyProtection="1">
      <alignment horizontal="center" vertical="center"/>
      <protection locked="0"/>
    </xf>
    <xf numFmtId="4" fontId="22" fillId="0" borderId="90" xfId="8" applyNumberFormat="1" applyFont="1" applyBorder="1" applyAlignment="1" applyProtection="1">
      <alignment horizontal="center" vertical="center"/>
      <protection locked="0"/>
    </xf>
    <xf numFmtId="0" fontId="39" fillId="0" borderId="0" xfId="1" applyFont="1" applyAlignment="1">
      <alignment vertical="center"/>
    </xf>
    <xf numFmtId="0" fontId="39" fillId="0" borderId="0" xfId="1" applyFont="1" applyAlignment="1">
      <alignment horizontal="left" vertical="center"/>
    </xf>
    <xf numFmtId="0" fontId="39" fillId="0" borderId="0" xfId="1" applyFont="1" applyAlignment="1">
      <alignment horizontal="justify" vertical="center"/>
    </xf>
    <xf numFmtId="0" fontId="39" fillId="0" borderId="0" xfId="6" applyFont="1"/>
    <xf numFmtId="0" fontId="39" fillId="0" borderId="0" xfId="6" applyFont="1" applyAlignment="1">
      <alignment vertical="center"/>
    </xf>
    <xf numFmtId="1" fontId="39" fillId="14" borderId="101" xfId="1" applyNumberFormat="1" applyFont="1" applyFill="1" applyBorder="1" applyAlignment="1">
      <alignment horizontal="center" vertical="center"/>
    </xf>
    <xf numFmtId="1" fontId="39" fillId="11" borderId="69" xfId="1" applyNumberFormat="1" applyFont="1" applyFill="1" applyBorder="1" applyAlignment="1">
      <alignment horizontal="center" vertical="center"/>
    </xf>
    <xf numFmtId="1" fontId="39" fillId="18" borderId="69" xfId="1" applyNumberFormat="1" applyFont="1" applyFill="1" applyBorder="1" applyAlignment="1">
      <alignment horizontal="center" vertical="center"/>
    </xf>
    <xf numFmtId="1" fontId="39" fillId="19" borderId="69" xfId="1" applyNumberFormat="1" applyFont="1" applyFill="1" applyBorder="1" applyAlignment="1">
      <alignment horizontal="center" vertical="center"/>
    </xf>
    <xf numFmtId="1" fontId="39" fillId="19" borderId="101" xfId="1" applyNumberFormat="1" applyFont="1" applyFill="1" applyBorder="1" applyAlignment="1">
      <alignment horizontal="center" vertical="center"/>
    </xf>
    <xf numFmtId="1" fontId="17" fillId="0" borderId="71" xfId="8" applyNumberFormat="1" applyFont="1" applyBorder="1" applyAlignment="1" applyProtection="1">
      <alignment horizontal="center" vertical="center"/>
      <protection locked="0"/>
    </xf>
    <xf numFmtId="1" fontId="55" fillId="10" borderId="69" xfId="1" applyNumberFormat="1" applyFont="1" applyFill="1" applyBorder="1" applyAlignment="1">
      <alignment horizontal="center" vertical="center"/>
    </xf>
    <xf numFmtId="1" fontId="17" fillId="10" borderId="69" xfId="8" applyNumberFormat="1" applyFont="1" applyFill="1" applyBorder="1" applyAlignment="1">
      <alignment horizontal="center" vertical="center" wrapText="1"/>
    </xf>
    <xf numFmtId="0" fontId="17" fillId="10" borderId="69" xfId="0" applyFont="1" applyFill="1" applyBorder="1" applyAlignment="1">
      <alignment horizontal="center" vertical="center"/>
    </xf>
    <xf numFmtId="0" fontId="79" fillId="10" borderId="0" xfId="1" applyFont="1" applyFill="1" applyAlignment="1">
      <alignment horizontal="justify" vertical="center"/>
    </xf>
    <xf numFmtId="0" fontId="80" fillId="10" borderId="0" xfId="1" applyFont="1" applyFill="1" applyAlignment="1">
      <alignment horizontal="left" vertical="center"/>
    </xf>
    <xf numFmtId="0" fontId="80" fillId="10" borderId="0" xfId="1" applyFont="1" applyFill="1" applyAlignment="1">
      <alignment horizontal="center" vertical="center"/>
    </xf>
    <xf numFmtId="0" fontId="80" fillId="10" borderId="0" xfId="1" applyFont="1" applyFill="1" applyAlignment="1">
      <alignment horizontal="right" vertical="center"/>
    </xf>
    <xf numFmtId="0" fontId="80" fillId="10" borderId="0" xfId="1" applyFont="1" applyFill="1"/>
    <xf numFmtId="0" fontId="79" fillId="10" borderId="0" xfId="1" applyFont="1" applyFill="1"/>
    <xf numFmtId="0" fontId="79" fillId="10" borderId="0" xfId="1" applyFont="1" applyFill="1" applyAlignment="1">
      <alignment horizontal="center"/>
    </xf>
    <xf numFmtId="0" fontId="80" fillId="10" borderId="0" xfId="1" applyFont="1" applyFill="1" applyAlignment="1">
      <alignment horizontal="center"/>
    </xf>
    <xf numFmtId="167" fontId="62" fillId="10" borderId="78" xfId="11" applyFont="1" applyFill="1" applyBorder="1" applyAlignment="1" applyProtection="1">
      <alignment vertical="center"/>
      <protection locked="0"/>
    </xf>
    <xf numFmtId="167" fontId="62" fillId="10" borderId="69" xfId="11" applyFont="1" applyFill="1" applyBorder="1" applyAlignment="1" applyProtection="1">
      <alignment horizontal="center" vertical="center"/>
      <protection locked="0"/>
    </xf>
    <xf numFmtId="1" fontId="62" fillId="10" borderId="69" xfId="11" applyNumberFormat="1" applyFont="1" applyFill="1" applyBorder="1" applyAlignment="1" applyProtection="1">
      <alignment vertical="center"/>
      <protection locked="0"/>
    </xf>
    <xf numFmtId="167" fontId="62" fillId="13" borderId="69" xfId="11" applyFont="1" applyFill="1" applyBorder="1" applyAlignment="1" applyProtection="1">
      <alignment vertical="center"/>
      <protection locked="0"/>
    </xf>
    <xf numFmtId="0" fontId="17" fillId="0" borderId="111" xfId="0" applyFont="1" applyBorder="1" applyAlignment="1">
      <alignment horizontal="center" vertical="center"/>
    </xf>
    <xf numFmtId="1" fontId="55" fillId="0" borderId="83" xfId="1" applyNumberFormat="1" applyFont="1" applyBorder="1" applyAlignment="1">
      <alignment horizontal="center" vertical="center"/>
    </xf>
    <xf numFmtId="1" fontId="17" fillId="0" borderId="114" xfId="8" applyNumberFormat="1" applyFont="1" applyBorder="1" applyAlignment="1">
      <alignment horizontal="center" vertical="center" wrapText="1"/>
    </xf>
    <xf numFmtId="2" fontId="17" fillId="10" borderId="69" xfId="8" applyNumberFormat="1" applyFont="1" applyFill="1" applyBorder="1" applyAlignment="1">
      <alignment horizontal="center" vertical="center" wrapText="1"/>
    </xf>
    <xf numFmtId="2" fontId="17" fillId="0" borderId="114" xfId="8" applyNumberFormat="1" applyFont="1" applyBorder="1" applyAlignment="1">
      <alignment horizontal="center" vertical="center" wrapText="1"/>
    </xf>
    <xf numFmtId="1" fontId="17" fillId="0" borderId="113" xfId="8" applyNumberFormat="1" applyFont="1" applyBorder="1" applyAlignment="1" applyProtection="1">
      <alignment horizontal="center" vertical="center"/>
      <protection locked="0"/>
    </xf>
    <xf numFmtId="0" fontId="55" fillId="32" borderId="69" xfId="1" applyFont="1" applyFill="1" applyBorder="1" applyAlignment="1">
      <alignment horizontal="left" vertical="center"/>
    </xf>
    <xf numFmtId="1" fontId="55" fillId="32" borderId="69" xfId="1" applyNumberFormat="1" applyFont="1" applyFill="1" applyBorder="1" applyAlignment="1">
      <alignment horizontal="center" vertical="center"/>
    </xf>
    <xf numFmtId="1" fontId="17" fillId="33" borderId="70" xfId="8" applyNumberFormat="1" applyFont="1" applyFill="1" applyBorder="1" applyAlignment="1" applyProtection="1">
      <alignment horizontal="center" vertical="center" wrapText="1"/>
      <protection locked="0"/>
    </xf>
    <xf numFmtId="0" fontId="55" fillId="23" borderId="69" xfId="1" applyFont="1" applyFill="1" applyBorder="1" applyAlignment="1">
      <alignment horizontal="left" vertical="top"/>
    </xf>
    <xf numFmtId="1" fontId="55" fillId="23" borderId="69" xfId="1" applyNumberFormat="1" applyFont="1" applyFill="1" applyBorder="1" applyAlignment="1">
      <alignment horizontal="center" vertical="center"/>
    </xf>
    <xf numFmtId="1" fontId="17" fillId="23" borderId="69" xfId="8" applyNumberFormat="1" applyFont="1" applyFill="1" applyBorder="1" applyAlignment="1" applyProtection="1">
      <alignment horizontal="center" vertical="center" wrapText="1"/>
      <protection locked="0"/>
    </xf>
    <xf numFmtId="0" fontId="55" fillId="34" borderId="69" xfId="1" applyFont="1" applyFill="1" applyBorder="1" applyAlignment="1">
      <alignment horizontal="left" vertical="center"/>
    </xf>
    <xf numFmtId="1" fontId="55" fillId="34" borderId="69" xfId="1" applyNumberFormat="1" applyFont="1" applyFill="1" applyBorder="1" applyAlignment="1">
      <alignment horizontal="center" vertical="center"/>
    </xf>
    <xf numFmtId="1" fontId="17" fillId="35" borderId="70" xfId="8" applyNumberFormat="1" applyFont="1" applyFill="1" applyBorder="1" applyAlignment="1" applyProtection="1">
      <alignment horizontal="center" vertical="center" wrapText="1"/>
      <protection locked="0"/>
    </xf>
    <xf numFmtId="0" fontId="55" fillId="34" borderId="112" xfId="1" applyFont="1" applyFill="1" applyBorder="1" applyAlignment="1">
      <alignment horizontal="left" vertical="center"/>
    </xf>
    <xf numFmtId="1" fontId="17" fillId="35" borderId="114" xfId="8" applyNumberFormat="1" applyFont="1" applyFill="1" applyBorder="1" applyAlignment="1" applyProtection="1">
      <alignment horizontal="center" vertical="center" wrapText="1"/>
      <protection locked="0"/>
    </xf>
    <xf numFmtId="1" fontId="17" fillId="35" borderId="114" xfId="8" applyNumberFormat="1" applyFont="1" applyFill="1" applyBorder="1" applyAlignment="1" applyProtection="1">
      <alignment vertical="center" wrapText="1"/>
      <protection locked="0"/>
    </xf>
    <xf numFmtId="0" fontId="55" fillId="36" borderId="69" xfId="8" applyFont="1" applyFill="1" applyBorder="1" applyAlignment="1" applyProtection="1">
      <alignment horizontal="left" vertical="center" wrapText="1"/>
      <protection locked="0"/>
    </xf>
    <xf numFmtId="2" fontId="60" fillId="0" borderId="63" xfId="4" applyNumberFormat="1" applyFont="1" applyBorder="1" applyAlignment="1">
      <alignment horizontal="left" vertical="center"/>
    </xf>
    <xf numFmtId="0" fontId="61" fillId="0" borderId="115" xfId="19" applyFont="1" applyBorder="1" applyAlignment="1">
      <alignment horizontal="left" vertical="center"/>
    </xf>
    <xf numFmtId="0" fontId="64" fillId="0" borderId="115" xfId="3" applyFont="1" applyBorder="1"/>
    <xf numFmtId="0" fontId="24" fillId="0" borderId="116" xfId="3" applyFont="1" applyBorder="1"/>
    <xf numFmtId="2" fontId="60" fillId="0" borderId="117" xfId="4" applyNumberFormat="1" applyFont="1" applyBorder="1" applyAlignment="1">
      <alignment horizontal="left" vertical="center"/>
    </xf>
    <xf numFmtId="0" fontId="27" fillId="0" borderId="8" xfId="4" applyFont="1" applyBorder="1" applyProtection="1">
      <protection locked="0"/>
    </xf>
    <xf numFmtId="0" fontId="27" fillId="0" borderId="8" xfId="3" applyFont="1" applyBorder="1"/>
    <xf numFmtId="2" fontId="60" fillId="0" borderId="118" xfId="4" applyNumberFormat="1" applyFont="1" applyBorder="1" applyAlignment="1">
      <alignment horizontal="left" vertical="center"/>
    </xf>
    <xf numFmtId="0" fontId="64" fillId="0" borderId="50" xfId="3" applyFont="1" applyBorder="1"/>
    <xf numFmtId="0" fontId="27" fillId="0" borderId="51" xfId="3" applyFont="1" applyBorder="1"/>
    <xf numFmtId="0" fontId="39" fillId="10" borderId="0" xfId="1" applyFont="1" applyFill="1" applyAlignment="1">
      <alignment horizontal="justify" vertical="center"/>
    </xf>
    <xf numFmtId="0" fontId="39" fillId="10" borderId="0" xfId="1" applyFont="1" applyFill="1" applyAlignment="1">
      <alignment horizontal="left" vertical="center"/>
    </xf>
    <xf numFmtId="0" fontId="39" fillId="10" borderId="0" xfId="1" applyFont="1" applyFill="1"/>
    <xf numFmtId="0" fontId="39" fillId="10" borderId="0" xfId="1" applyFont="1" applyFill="1" applyAlignment="1">
      <alignment horizontal="left"/>
    </xf>
    <xf numFmtId="1" fontId="39" fillId="0" borderId="71" xfId="8" applyNumberFormat="1" applyFont="1" applyBorder="1" applyAlignment="1" applyProtection="1">
      <alignment horizontal="center" vertical="center"/>
      <protection locked="0"/>
    </xf>
    <xf numFmtId="4" fontId="62" fillId="10" borderId="2" xfId="6" applyNumberFormat="1" applyFont="1" applyFill="1" applyBorder="1" applyAlignment="1">
      <alignment horizontal="right" vertical="center"/>
    </xf>
    <xf numFmtId="2" fontId="5" fillId="0" borderId="0" xfId="6" applyNumberFormat="1" applyFont="1" applyAlignment="1">
      <alignment horizontal="center"/>
    </xf>
    <xf numFmtId="2" fontId="27" fillId="0" borderId="50" xfId="4" quotePrefix="1" applyNumberFormat="1" applyFont="1" applyBorder="1" applyAlignment="1" applyProtection="1">
      <alignment horizontal="center"/>
      <protection locked="0"/>
    </xf>
    <xf numFmtId="0" fontId="52" fillId="0" borderId="0" xfId="0" applyFont="1" applyAlignment="1">
      <alignment horizontal="center" vertical="center"/>
    </xf>
    <xf numFmtId="0" fontId="18" fillId="0" borderId="0" xfId="0" applyFont="1"/>
    <xf numFmtId="0" fontId="55" fillId="10" borderId="80" xfId="6" applyFont="1" applyFill="1" applyBorder="1" applyAlignment="1">
      <alignment vertical="center"/>
    </xf>
    <xf numFmtId="0" fontId="55" fillId="10" borderId="81" xfId="6" applyFont="1" applyFill="1" applyBorder="1" applyAlignment="1">
      <alignment vertical="center"/>
    </xf>
    <xf numFmtId="0" fontId="17" fillId="10" borderId="0" xfId="0" applyFont="1" applyFill="1"/>
    <xf numFmtId="167" fontId="62" fillId="10" borderId="100" xfId="11" applyFont="1" applyFill="1" applyBorder="1" applyAlignment="1" applyProtection="1">
      <alignment horizontal="center" vertical="center"/>
      <protection locked="0"/>
    </xf>
    <xf numFmtId="167" fontId="62" fillId="10" borderId="101" xfId="11" applyFont="1" applyFill="1" applyBorder="1" applyAlignment="1" applyProtection="1">
      <alignment horizontal="center" vertical="center"/>
      <protection locked="0"/>
    </xf>
    <xf numFmtId="0" fontId="55" fillId="10" borderId="79" xfId="6" applyFont="1" applyFill="1" applyBorder="1" applyAlignment="1">
      <alignment vertical="center"/>
    </xf>
    <xf numFmtId="0" fontId="55" fillId="29" borderId="91" xfId="8" applyFont="1" applyFill="1" applyBorder="1" applyAlignment="1" applyProtection="1">
      <alignment horizontal="left" vertical="center"/>
      <protection locked="0"/>
    </xf>
    <xf numFmtId="0" fontId="55" fillId="29" borderId="69" xfId="8" applyFont="1" applyFill="1" applyBorder="1" applyAlignment="1" applyProtection="1">
      <alignment horizontal="left" vertical="center"/>
      <protection locked="0"/>
    </xf>
    <xf numFmtId="167" fontId="55" fillId="21" borderId="98" xfId="11" applyFont="1" applyFill="1" applyBorder="1" applyAlignment="1" applyProtection="1">
      <alignment horizontal="left" vertical="center"/>
      <protection locked="0"/>
    </xf>
    <xf numFmtId="167" fontId="55" fillId="21" borderId="75" xfId="11" applyFont="1" applyFill="1" applyBorder="1" applyAlignment="1" applyProtection="1">
      <alignment horizontal="left" vertical="center"/>
      <protection locked="0"/>
    </xf>
    <xf numFmtId="0" fontId="55" fillId="25" borderId="91" xfId="8" applyFont="1" applyFill="1" applyBorder="1" applyAlignment="1" applyProtection="1">
      <alignment horizontal="left" vertical="center"/>
      <protection locked="0"/>
    </xf>
    <xf numFmtId="0" fontId="55" fillId="25" borderId="69" xfId="8" applyFont="1" applyFill="1" applyBorder="1" applyAlignment="1" applyProtection="1">
      <alignment horizontal="left" vertical="center"/>
      <protection locked="0"/>
    </xf>
    <xf numFmtId="0" fontId="55" fillId="26" borderId="91" xfId="8" applyFont="1" applyFill="1" applyBorder="1" applyAlignment="1" applyProtection="1">
      <alignment horizontal="left" vertical="center"/>
      <protection locked="0"/>
    </xf>
    <xf numFmtId="0" fontId="55" fillId="26" borderId="69" xfId="8" applyFont="1" applyFill="1" applyBorder="1" applyAlignment="1" applyProtection="1">
      <alignment horizontal="left" vertical="center"/>
      <protection locked="0"/>
    </xf>
    <xf numFmtId="1" fontId="55" fillId="27" borderId="91" xfId="8" applyNumberFormat="1" applyFont="1" applyFill="1" applyBorder="1" applyAlignment="1" applyProtection="1">
      <alignment horizontal="left" vertical="center"/>
      <protection locked="0"/>
    </xf>
    <xf numFmtId="1" fontId="55" fillId="27" borderId="69" xfId="8" applyNumberFormat="1" applyFont="1" applyFill="1" applyBorder="1" applyAlignment="1" applyProtection="1">
      <alignment horizontal="left" vertical="center"/>
      <protection locked="0"/>
    </xf>
    <xf numFmtId="1" fontId="55" fillId="28" borderId="91" xfId="8" applyNumberFormat="1" applyFont="1" applyFill="1" applyBorder="1" applyAlignment="1" applyProtection="1">
      <alignment horizontal="left" vertical="center"/>
      <protection locked="0"/>
    </xf>
    <xf numFmtId="1" fontId="55" fillId="28" borderId="69" xfId="8" applyNumberFormat="1" applyFont="1" applyFill="1" applyBorder="1" applyAlignment="1" applyProtection="1">
      <alignment horizontal="left" vertical="center"/>
      <protection locked="0"/>
    </xf>
    <xf numFmtId="0" fontId="55" fillId="28" borderId="91" xfId="8" applyFont="1" applyFill="1" applyBorder="1" applyAlignment="1" applyProtection="1">
      <alignment horizontal="left" vertical="center"/>
      <protection locked="0"/>
    </xf>
    <xf numFmtId="0" fontId="55" fillId="28" borderId="69" xfId="8" applyFont="1" applyFill="1" applyBorder="1" applyAlignment="1" applyProtection="1">
      <alignment horizontal="left" vertical="center"/>
      <protection locked="0"/>
    </xf>
    <xf numFmtId="0" fontId="55" fillId="22" borderId="91" xfId="8" applyFont="1" applyFill="1" applyBorder="1" applyAlignment="1" applyProtection="1">
      <alignment horizontal="left" vertical="center"/>
      <protection locked="0"/>
    </xf>
    <xf numFmtId="0" fontId="55" fillId="22" borderId="69" xfId="8" applyFont="1" applyFill="1" applyBorder="1" applyAlignment="1" applyProtection="1">
      <alignment horizontal="left" vertical="center"/>
      <protection locked="0"/>
    </xf>
    <xf numFmtId="1" fontId="22" fillId="0" borderId="95" xfId="8" applyNumberFormat="1" applyFont="1" applyBorder="1" applyAlignment="1" applyProtection="1">
      <alignment horizontal="center" vertical="center"/>
      <protection locked="0"/>
    </xf>
    <xf numFmtId="1" fontId="22" fillId="0" borderId="73" xfId="8" applyNumberFormat="1" applyFont="1" applyBorder="1" applyAlignment="1" applyProtection="1">
      <alignment horizontal="center" vertical="center"/>
      <protection locked="0"/>
    </xf>
    <xf numFmtId="167" fontId="62" fillId="12" borderId="96" xfId="11" applyFont="1" applyFill="1" applyBorder="1" applyAlignment="1" applyProtection="1">
      <alignment horizontal="center" vertical="center"/>
      <protection locked="0"/>
    </xf>
    <xf numFmtId="167" fontId="62" fillId="12" borderId="83" xfId="11" applyFont="1" applyFill="1" applyBorder="1" applyAlignment="1" applyProtection="1">
      <alignment horizontal="center" vertical="center"/>
      <protection locked="0"/>
    </xf>
    <xf numFmtId="1" fontId="62" fillId="12" borderId="97" xfId="7" applyNumberFormat="1" applyFont="1" applyFill="1" applyBorder="1" applyAlignment="1" applyProtection="1">
      <alignment horizontal="center" vertical="center"/>
      <protection locked="0"/>
    </xf>
    <xf numFmtId="167" fontId="62" fillId="12" borderId="83" xfId="11" applyFont="1" applyFill="1" applyBorder="1" applyAlignment="1" applyProtection="1">
      <alignment horizontal="center" vertical="center" wrapText="1"/>
      <protection locked="0"/>
    </xf>
    <xf numFmtId="0" fontId="66" fillId="0" borderId="0" xfId="1" applyFont="1" applyAlignment="1">
      <alignment horizontal="justify" vertical="center"/>
    </xf>
    <xf numFmtId="0" fontId="71" fillId="0" borderId="0" xfId="3" applyFont="1" applyAlignment="1">
      <alignment horizontal="center" vertical="center"/>
    </xf>
    <xf numFmtId="0" fontId="27" fillId="0" borderId="58" xfId="4" applyFont="1" applyBorder="1" applyProtection="1">
      <protection locked="0"/>
    </xf>
    <xf numFmtId="0" fontId="22" fillId="10" borderId="87" xfId="8" applyFont="1" applyFill="1" applyBorder="1" applyAlignment="1">
      <alignment horizontal="center" vertical="center" wrapText="1"/>
    </xf>
    <xf numFmtId="0" fontId="22" fillId="10" borderId="6" xfId="8" applyFont="1" applyFill="1" applyBorder="1" applyAlignment="1">
      <alignment horizontal="center" vertical="center" wrapText="1"/>
    </xf>
    <xf numFmtId="0" fontId="22" fillId="10" borderId="89" xfId="8" applyFont="1" applyFill="1" applyBorder="1" applyAlignment="1">
      <alignment horizontal="center" vertical="center" wrapText="1"/>
    </xf>
    <xf numFmtId="0" fontId="22" fillId="10" borderId="68" xfId="8" applyFont="1" applyFill="1" applyBorder="1" applyAlignment="1">
      <alignment horizontal="center" vertical="center" wrapText="1"/>
    </xf>
    <xf numFmtId="0" fontId="22" fillId="0" borderId="6" xfId="8" applyFont="1" applyBorder="1" applyAlignment="1">
      <alignment horizontal="center" vertical="center" wrapText="1"/>
    </xf>
    <xf numFmtId="0" fontId="22" fillId="0" borderId="68" xfId="8" applyFont="1" applyBorder="1" applyAlignment="1">
      <alignment horizontal="center" vertical="center" wrapText="1"/>
    </xf>
    <xf numFmtId="0" fontId="22" fillId="0" borderId="88" xfId="8" applyFont="1" applyBorder="1" applyAlignment="1">
      <alignment horizontal="center" vertical="center" wrapText="1"/>
    </xf>
    <xf numFmtId="0" fontId="22" fillId="0" borderId="90" xfId="8" applyFont="1" applyBorder="1" applyAlignment="1">
      <alignment horizontal="center" vertical="center" wrapText="1"/>
    </xf>
    <xf numFmtId="15" fontId="27" fillId="0" borderId="18" xfId="4" applyNumberFormat="1" applyFont="1" applyBorder="1" applyAlignment="1" applyProtection="1">
      <alignment horizontal="left" vertical="top"/>
      <protection locked="0"/>
    </xf>
    <xf numFmtId="15" fontId="27" fillId="0" borderId="0" xfId="4" applyNumberFormat="1" applyFont="1" applyAlignment="1" applyProtection="1">
      <alignment horizontal="left" vertical="top"/>
      <protection locked="0"/>
    </xf>
    <xf numFmtId="167" fontId="62" fillId="10" borderId="69" xfId="11" applyFont="1" applyFill="1" applyBorder="1" applyAlignment="1" applyProtection="1">
      <alignment horizontal="center" vertical="center"/>
      <protection locked="0"/>
    </xf>
    <xf numFmtId="167" fontId="62" fillId="21" borderId="75" xfId="11" applyFont="1" applyFill="1" applyBorder="1" applyAlignment="1" applyProtection="1">
      <alignment horizontal="left" vertical="center"/>
      <protection locked="0"/>
    </xf>
    <xf numFmtId="0" fontId="62" fillId="21" borderId="77" xfId="8" applyFont="1" applyFill="1" applyBorder="1" applyAlignment="1">
      <alignment horizontal="left" vertical="center"/>
    </xf>
    <xf numFmtId="0" fontId="62" fillId="24" borderId="69" xfId="8" applyFont="1" applyFill="1" applyBorder="1" applyAlignment="1" applyProtection="1">
      <alignment horizontal="left" vertical="center"/>
      <protection locked="0"/>
    </xf>
    <xf numFmtId="0" fontId="62" fillId="23" borderId="69" xfId="8" applyFont="1" applyFill="1" applyBorder="1" applyAlignment="1" applyProtection="1">
      <alignment horizontal="left" vertical="center"/>
      <protection locked="0"/>
    </xf>
    <xf numFmtId="0" fontId="62" fillId="36" borderId="69" xfId="8" applyFont="1" applyFill="1" applyBorder="1" applyAlignment="1" applyProtection="1">
      <alignment horizontal="left" vertical="center"/>
      <protection locked="0"/>
    </xf>
    <xf numFmtId="0" fontId="75" fillId="0" borderId="0" xfId="3" applyFont="1" applyAlignment="1">
      <alignment horizontal="center" vertical="center"/>
    </xf>
    <xf numFmtId="1" fontId="24" fillId="0" borderId="0" xfId="9" applyNumberFormat="1" applyFont="1" applyAlignment="1" applyProtection="1">
      <alignment horizontal="left" vertical="center" wrapText="1"/>
      <protection locked="0"/>
    </xf>
    <xf numFmtId="1" fontId="24" fillId="0" borderId="23" xfId="9" applyNumberFormat="1" applyFont="1" applyBorder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center"/>
    </xf>
    <xf numFmtId="0" fontId="0" fillId="0" borderId="0" xfId="0"/>
  </cellXfs>
  <cellStyles count="21">
    <cellStyle name="Currency 3" xfId="10" xr:uid="{F56CE175-B909-444A-BA26-C6735B5E838D}"/>
    <cellStyle name="Excel Built-in Normal" xfId="1" xr:uid="{B249CBAC-0DA1-4AB0-A431-BDFEC73BFFA2}"/>
    <cellStyle name="Excel Built-in Normal 2" xfId="11" xr:uid="{518E7955-2E59-4A1B-B86E-B9620739FF2A}"/>
    <cellStyle name="Excel Built-in Normal 3" xfId="19" xr:uid="{289A03F8-7DC6-45BA-9EF2-2CA13735F5A3}"/>
    <cellStyle name="Normal" xfId="0" builtinId="0"/>
    <cellStyle name="Normal 2" xfId="2" xr:uid="{A8EAC042-9658-42E9-B2C5-99FA6E95868E}"/>
    <cellStyle name="Normal 2 18 2 2" xfId="15" xr:uid="{C28C8FE1-8768-4BEC-B7CB-508D7EF1BCD7}"/>
    <cellStyle name="Normal 2 18 2 2 2" xfId="20" xr:uid="{0F0FC1E0-182C-4D91-96DD-A676068F65A9}"/>
    <cellStyle name="Normal 2 2" xfId="8" xr:uid="{47CEEF53-2C30-4F61-875A-3929BF180BF8}"/>
    <cellStyle name="Normal 2 2 2" xfId="7" xr:uid="{173D10BA-BFBD-4744-B1AC-DCEF104DF68B}"/>
    <cellStyle name="Normal 2 2 2 2" xfId="17" xr:uid="{BAC090A6-0241-4CD8-BDCC-FE84BA72B9E4}"/>
    <cellStyle name="Normal 2 39" xfId="6" xr:uid="{214DEFB3-B8DB-4E23-BEA3-220CC6BC6D4B}"/>
    <cellStyle name="Normal 2 39 2" xfId="16" xr:uid="{8ADD49C0-EA35-4EB9-98A9-E76A482BC258}"/>
    <cellStyle name="Normal 2 4" xfId="4" xr:uid="{4ABBEF1F-AA73-48E9-9DCE-91AC164603E5}"/>
    <cellStyle name="Normal 2 4 2" xfId="9" xr:uid="{C90E02F1-F6DB-4ADD-8819-98AC950598D8}"/>
    <cellStyle name="Normal 2 4 3" xfId="13" xr:uid="{0DA9D7B7-E0C2-44B3-8AAE-0D26D0C8454B}"/>
    <cellStyle name="Normal 22 3 2" xfId="3" xr:uid="{886F4346-C63F-40EC-A54F-44F8652D7555}"/>
    <cellStyle name="Normal 22 3 2 2" xfId="12" xr:uid="{C29E8996-7209-4915-B0F0-7E303BDC6F52}"/>
    <cellStyle name="Normal 23 3" xfId="5" xr:uid="{E3C611C0-3162-4F23-86EA-885315463478}"/>
    <cellStyle name="Normal 23 3 2" xfId="14" xr:uid="{4831523D-E69D-4E09-B3ED-8E5B470304E2}"/>
    <cellStyle name="Normal 3" xfId="18" xr:uid="{A1DEB53D-A5BA-4C1A-A958-98B1A12048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266700</xdr:colOff>
      <xdr:row>0</xdr:row>
      <xdr:rowOff>514350</xdr:rowOff>
    </xdr:to>
    <xdr:pic>
      <xdr:nvPicPr>
        <xdr:cNvPr id="3" name="Picture 1025">
          <a:extLst>
            <a:ext uri="{FF2B5EF4-FFF2-40B4-BE49-F238E27FC236}">
              <a16:creationId xmlns:a16="http://schemas.microsoft.com/office/drawing/2014/main" id="{6EB9CBE5-164C-41CA-9EA7-6153B7F20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162175" cy="514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819150</xdr:colOff>
      <xdr:row>44</xdr:row>
      <xdr:rowOff>28575</xdr:rowOff>
    </xdr:from>
    <xdr:to>
      <xdr:col>7</xdr:col>
      <xdr:colOff>2790825</xdr:colOff>
      <xdr:row>49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809A3-4A78-40C5-B206-DFBFC8D8A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3350" y="9429750"/>
          <a:ext cx="197167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381000</xdr:colOff>
      <xdr:row>0</xdr:row>
      <xdr:rowOff>514350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76CA0FF3-19B2-4B4E-9E9D-FB5E3CAD9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162175" cy="5143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1057275</xdr:colOff>
      <xdr:row>38</xdr:row>
      <xdr:rowOff>104775</xdr:rowOff>
    </xdr:from>
    <xdr:to>
      <xdr:col>7</xdr:col>
      <xdr:colOff>3028950</xdr:colOff>
      <xdr:row>43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776583-A3AD-430F-B881-0319B4F59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8391525"/>
          <a:ext cx="19716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6.200\GA%20Share\Shipping%20Dept\Document\ZHEN\J.V\JV%20USA%20COC\VF%20091175%20Information%20Request%20Form%20-%20NGC%20V1.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LENOVO/Documents/Tentree%20Hollit%20FW25/Bulk%20PL%20perubahan%20sea%20&amp;%20air/Aktual,%20final/Revisi/Handri/ASICS/ASICS%202018/X-1811%20ASICS%20BULK%20R3%20AW'18..xlsx" TargetMode="External"/><Relationship Id="rId1" Type="http://schemas.openxmlformats.org/officeDocument/2006/relationships/externalLinkPath" Target="/Users/LENOVO/Documents/Tentree%20Hollit%20FW25/Bulk%20PL%20perubahan%20sea%20&amp;%20air/Aktual,%20final/Revisi/Handri/ASICS/ASICS%202018/X-1811%20ASICS%20BULK%20R3%20AW'18.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LENOVO/Documents/Tentree%20Hollit%20FW25/Bulk%20PL%20perubahan%20sea%20&amp;%20air/Aktual,%20final/Revisi/Documents%20and%20Settings/panj/Desktop/F13%20OUTDOOR%20OUTERWEAR%20-%20working.xlsx" TargetMode="External"/><Relationship Id="rId1" Type="http://schemas.openxmlformats.org/officeDocument/2006/relationships/externalLinkPath" Target="/Users/LENOVO/Documents/Tentree%20Hollit%20FW25/Bulk%20PL%20perubahan%20sea%20&amp;%20air/Aktual,%20final/Revisi/Documents%20and%20Settings/panj/Desktop/F13%20OUTDOOR%20OUTERWEAR%20-%20work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LENOVO/Documents/Tentree%20Hollit%20FW25/Bulk%20PL%20perubahan%20sea%20&amp;%20air/Aktual,%20final/Revisi/PO%20FABRIC/ASICS/FORMAT-A/PO%20FABRIC%20ASICS%204%20JULY-A.xls" TargetMode="External"/><Relationship Id="rId1" Type="http://schemas.openxmlformats.org/officeDocument/2006/relationships/externalLinkPath" Target="/Users/LENOVO/Documents/Tentree%20Hollit%20FW25/Bulk%20PL%20perubahan%20sea%20&amp;%20air/Aktual,%20final/Revisi/PO%20FABRIC/ASICS/FORMAT-A/PO%20FABRIC%20ASICS%204%20JULY-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LENOVO/Documents/Tentree%20Hollit%20FW25/Bulk%20PL%20perubahan%20sea%20&amp;%20air/Aktual,%20final/Revisi/TEMP/_ZCTmp.Dir/Modified%20S11%20LLs/Copy%20of%20S11%20Equipment%20LL.xls" TargetMode="External"/><Relationship Id="rId1" Type="http://schemas.openxmlformats.org/officeDocument/2006/relationships/externalLinkPath" Target="/Users/LENOVO/Documents/Tentree%20Hollit%20FW25/Bulk%20PL%20perubahan%20sea%20&amp;%20air/Aktual,%20final/Revisi/TEMP/_ZCTmp.Dir/Modified%20S11%20LLs/Copy%20of%20S11%20Equipment%20LL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LENOVO/Documents/Tentree%20Hollit%20FW25/Bulk%20PL%20perubahan%20sea%20&amp;%20air/Aktual,%20final/Revisi/BUSINESS%20PLANNING/S11/S11%20Official%20Sample%20Buy/Modified%20S11%20LLs/Copy%20of%20S11%20Equipment%20LL.xls" TargetMode="External"/><Relationship Id="rId1" Type="http://schemas.openxmlformats.org/officeDocument/2006/relationships/externalLinkPath" Target="/Users/LENOVO/Documents/Tentree%20Hollit%20FW25/Bulk%20PL%20perubahan%20sea%20&amp;%20air/Aktual,%20final/Revisi/BUSINESS%20PLANNING/S11/S11%20Official%20Sample%20Buy/Modified%20S11%20LLs/Copy%20of%20S11%20Equipment%20L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YER\HOLLIT-TENTREE\2023%20(PAKAI%20FORM%20B%20KECUALI%20SHIP%20BY%20DHL)\CopyS14%20AI%20Logowear-revisedAP-E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LENOVO/Documents/Tentree%20Hollit%20FW25/Bulk%20PL%20perubahan%20sea%20&amp;%20air/Aktual,%20final/Revisi/ELING/DOCSTAT1.XLS" TargetMode="External"/><Relationship Id="rId1" Type="http://schemas.openxmlformats.org/officeDocument/2006/relationships/externalLinkPath" Target="/Users/LENOVO/Documents/Tentree%20Hollit%20FW25/Bulk%20PL%20perubahan%20sea%20&amp;%20air/Aktual,%20final/Revisi/ELING/DOCSTAT1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LENOVO/Documents/Tentree%20Hollit%20FW25/Bulk%20PL%20perubahan%20sea%20&amp;%20air/Aktual,%20final/Revisi/shipping/export/Invoice/Inv2007/2400/ELING/DOCSTAT1.XLS" TargetMode="External"/><Relationship Id="rId1" Type="http://schemas.openxmlformats.org/officeDocument/2006/relationships/externalLinkPath" Target="/Users/LENOVO/Documents/Tentree%20Hollit%20FW25/Bulk%20PL%20perubahan%20sea%20&amp;%20air/Aktual,%20final/Revisi/shipping/export/Invoice/Inv2007/2400/ELING/DOCSTAT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pebdata\company\shipping\export\Invoice\Inv2011\2700\ELING\DOCSTAT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70-pc\pic05-d\cucu\ARF\ARF%20LOKAL\PO%20608%2009.400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70-pc\shd%202\EXPORT\X-1744%20ASICS%20OUTLET%20AW'1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panj\Desktop\F13%20OUTDOOR%20OUTERWEAR%20-%20worki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70-pc\shd\PPIC%20+%20ASS\EXPORT\ASICS\X-1807%20PRO-STRETCH%20ASICS%20BULK%20R2%20AW'18%20ACC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eason%20Masters\Developmental%20Product%20Info\Spring%202013\Line%20Builders\SP13%20AI%20-%20Logowear%20(Line%20Builder)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2025\C8\TENTREE\BULK\AW%2025\SHIPPING%20DOCUMENT\MASTERINDO\CANADA\NRI%20KAMLOOPS\JUNE\INV%23.038-PO04515-TCW6269.6313.6310-TCM6253.5188-NRI%20KAMLOOPS-CANADA-AIR-JUN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"/>
      <sheetName val="Regulation"/>
      <sheetName val="Instructions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7 For All Mankind</v>
          </cell>
          <cell r="F2" t="str">
            <v>Apparel - Adult</v>
          </cell>
          <cell r="H2" t="str">
            <v>16 CFR 1610 Flammability</v>
          </cell>
        </row>
        <row r="3">
          <cell r="A3" t="str">
            <v>Eagle Creek</v>
          </cell>
          <cell r="F3" t="str">
            <v>Apparel - Children</v>
          </cell>
          <cell r="H3" t="str">
            <v>No specific product safety requirement for the mentioned style</v>
          </cell>
        </row>
        <row r="4">
          <cell r="A4" t="str">
            <v>Eastpak</v>
          </cell>
          <cell r="F4" t="str">
            <v>Bag &amp; Luggage - Adult</v>
          </cell>
          <cell r="H4" t="str">
            <v>The textile can be exempted from flammability test under CPSC regulation section 1610.</v>
          </cell>
        </row>
        <row r="5">
          <cell r="A5" t="str">
            <v>Imagewear</v>
          </cell>
          <cell r="F5" t="str">
            <v>Bag &amp; Luggage - Children</v>
          </cell>
          <cell r="H5" t="str">
            <v>16 CFR 1303 Lead in Paint &amp; Surface Coatings.</v>
          </cell>
        </row>
        <row r="6">
          <cell r="A6" t="str">
            <v>Jansport</v>
          </cell>
          <cell r="F6" t="str">
            <v>Bicycle Helmets - Adult</v>
          </cell>
          <cell r="H6" t="str">
            <v>16 CFR 1610 Flammability.</v>
          </cell>
        </row>
        <row r="7">
          <cell r="A7" t="str">
            <v>John Varvatos</v>
          </cell>
          <cell r="F7" t="str">
            <v>Bicycle Helmets - Children</v>
          </cell>
          <cell r="H7" t="str">
            <v>16 CFR 1615/1616 Children Sleepwear Flammability.</v>
          </cell>
        </row>
        <row r="8">
          <cell r="A8" t="str">
            <v>Kipling</v>
          </cell>
          <cell r="F8" t="str">
            <v>Footwear - Adult</v>
          </cell>
          <cell r="H8" t="str">
            <v>HR 4040 New Total Lead Content.</v>
          </cell>
        </row>
        <row r="9">
          <cell r="A9" t="str">
            <v>Lee</v>
          </cell>
          <cell r="F9" t="str">
            <v>Footwear - Children</v>
          </cell>
          <cell r="H9" t="str">
            <v>No specific product safety requirement for the mentioned style</v>
          </cell>
        </row>
        <row r="10">
          <cell r="A10" t="str">
            <v>Lucy</v>
          </cell>
          <cell r="F10" t="str">
            <v>Other Articles - Adult</v>
          </cell>
          <cell r="H10" t="str">
            <v>Sharp Points and sharp edges 16 CFR 1500.48 and 49</v>
          </cell>
        </row>
        <row r="11">
          <cell r="A11" t="str">
            <v>Napapijri</v>
          </cell>
          <cell r="F11" t="str">
            <v>Other Articles - Children</v>
          </cell>
          <cell r="H11" t="str">
            <v>Small Parts 16 CFR 1501</v>
          </cell>
        </row>
        <row r="12">
          <cell r="A12" t="str">
            <v>Nautica</v>
          </cell>
          <cell r="H12" t="str">
            <v>The textile can be exempted from flammability test under CPSC regulation section 1610.</v>
          </cell>
        </row>
        <row r="13">
          <cell r="A13" t="str">
            <v>Reef</v>
          </cell>
          <cell r="H13" t="str">
            <v>Exempted under CPSIA, COC is not required.</v>
          </cell>
        </row>
        <row r="14">
          <cell r="A14" t="str">
            <v>TNF</v>
          </cell>
          <cell r="H14" t="str">
            <v>16 CFR 1303 Lead in Paint &amp; Surface Coatings.</v>
          </cell>
        </row>
        <row r="15">
          <cell r="A15" t="str">
            <v>Vans</v>
          </cell>
          <cell r="H15" t="str">
            <v>HR 4040 New Total Lead Content.</v>
          </cell>
        </row>
        <row r="16">
          <cell r="A16" t="str">
            <v>VFO</v>
          </cell>
          <cell r="H16" t="str">
            <v>No specific product safety requirement for the mentioned style</v>
          </cell>
        </row>
        <row r="17">
          <cell r="A17" t="str">
            <v>Wrangler</v>
          </cell>
          <cell r="H17" t="str">
            <v>Sharp Points and sharp edges 16 CFR 1500.48 and 49</v>
          </cell>
        </row>
        <row r="18">
          <cell r="H18" t="str">
            <v>Small Parts 16 CFR 1501</v>
          </cell>
        </row>
        <row r="19">
          <cell r="H19" t="str">
            <v xml:space="preserve">16 CFR 1203 Safety Standard. </v>
          </cell>
        </row>
        <row r="20">
          <cell r="H20" t="str">
            <v>No specific product safety requirement for the mentioned style</v>
          </cell>
        </row>
        <row r="21">
          <cell r="H21" t="str">
            <v>16 CFR 1203 Safety Standard.</v>
          </cell>
        </row>
        <row r="22">
          <cell r="H22" t="str">
            <v>16 CFR 1303 Lead in Paint &amp; Surface Coatings.</v>
          </cell>
        </row>
        <row r="23">
          <cell r="H23" t="str">
            <v>HR 4040 New Total Lead Content.</v>
          </cell>
        </row>
        <row r="24">
          <cell r="H24" t="str">
            <v>No specific product safety requirement for the mentioned style</v>
          </cell>
        </row>
        <row r="25">
          <cell r="H25" t="str">
            <v>Sharp Points and sharp edges 16 CFR 1500.48 and 49</v>
          </cell>
        </row>
        <row r="26">
          <cell r="H26" t="str">
            <v>Small Parts 16 CFR 1501</v>
          </cell>
        </row>
        <row r="27">
          <cell r="H27" t="str">
            <v>Exempted under CPSIA, COC is not required.</v>
          </cell>
        </row>
        <row r="28">
          <cell r="H28" t="str">
            <v>16 CFR 1303 Lead in Paint &amp; Surface Coatings.</v>
          </cell>
        </row>
        <row r="29">
          <cell r="H29" t="str">
            <v>HR 4040 New Total Lead Content.</v>
          </cell>
        </row>
        <row r="30">
          <cell r="H30" t="str">
            <v>No specific product safety requirement for the mentioned style</v>
          </cell>
        </row>
        <row r="31">
          <cell r="H31" t="str">
            <v>Sharp Points and sharp edges 16 CFR 1500.48 and 49</v>
          </cell>
        </row>
        <row r="32">
          <cell r="H32" t="str">
            <v>Small Parts 16 CFR 1501</v>
          </cell>
        </row>
        <row r="33">
          <cell r="H33" t="str">
            <v>No specific product safety requirement for the mentioned style</v>
          </cell>
        </row>
        <row r="34">
          <cell r="H34" t="str">
            <v>16 CFR 1303 Lead in Paint &amp; Surface Coatings.</v>
          </cell>
        </row>
        <row r="35">
          <cell r="H35" t="str">
            <v>HR 4040 New Total Lead Content.</v>
          </cell>
        </row>
        <row r="36">
          <cell r="H36" t="str">
            <v>No specific product safety requirement for the mentioned style</v>
          </cell>
        </row>
        <row r="37">
          <cell r="H37" t="str">
            <v>Sharp Points and sharp edges 16 CFR 1500.48 and 49</v>
          </cell>
        </row>
        <row r="38">
          <cell r="H38" t="str">
            <v>Small Parts 16 CFR 1501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VOT"/>
      <sheetName val="DA_ALL"/>
      <sheetName val="DATA"/>
      <sheetName val="COLOUR"/>
      <sheetName val="SIZE"/>
      <sheetName val="155226-A"/>
      <sheetName val="155228-B"/>
      <sheetName val="155238-C"/>
      <sheetName val="155244-D"/>
      <sheetName val="155254-E"/>
      <sheetName val="2032A290-F"/>
      <sheetName val="2032A296-G"/>
      <sheetName val="155254-H"/>
      <sheetName val="159700-I"/>
      <sheetName val="159715-J"/>
      <sheetName val="159717-K"/>
      <sheetName val="159725-L"/>
      <sheetName val="159734-M"/>
      <sheetName val="159748-N"/>
      <sheetName val="159880-O1"/>
      <sheetName val="159880-O2"/>
      <sheetName val="159887-P"/>
      <sheetName val="159892-Q"/>
      <sheetName val="159893-R1"/>
      <sheetName val="159893-R2"/>
      <sheetName val="2111A068-S"/>
      <sheetName val="2111A070-T"/>
      <sheetName val="2111A226-U"/>
      <sheetName val="REKAP BENANG"/>
      <sheetName val="STICKER RUSIA"/>
      <sheetName val="SUMMARY"/>
      <sheetName val="ASICS BULK R3 AW'18"/>
      <sheetName val="ATEX"/>
      <sheetName val="ATEX (2)"/>
      <sheetName val="WELLTERN"/>
      <sheetName val="BKK"/>
      <sheetName val="KHARISMA"/>
      <sheetName val="MULTIMAXIM"/>
      <sheetName val="PAIHO"/>
      <sheetName val="PRO_STRETCH"/>
      <sheetName val="CHUN WO HO"/>
      <sheetName val="MAS"/>
      <sheetName val="SINARRAGA"/>
      <sheetName val="MARUSHIN"/>
      <sheetName val="CLOTEX"/>
      <sheetName val="MAJUEL"/>
      <sheetName val="JAKING"/>
      <sheetName val="RAFI"/>
      <sheetName val="TENTAC"/>
      <sheetName val="SAPTA JAYA"/>
      <sheetName val="YK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ne Builder"/>
      <sheetName val="Change Log"/>
      <sheetName val="Validation"/>
      <sheetName val="Previous Forcasting notes"/>
      <sheetName val="Line_Builder"/>
      <sheetName val="Change_Log"/>
      <sheetName val="Previous_Forcasting_notes"/>
      <sheetName val="Data_Validation"/>
      <sheetName val="LL CHANGE TYPE"/>
      <sheetName val="Line_Builder3"/>
      <sheetName val="Change_Log3"/>
      <sheetName val="Previous_Forcasting_notes3"/>
      <sheetName val="LL_CHANGE_TYPE2"/>
      <sheetName val="Line_Builder1"/>
      <sheetName val="Change_Log1"/>
      <sheetName val="Previous_Forcasting_notes1"/>
      <sheetName val="LL_CHANGE_TYPE"/>
      <sheetName val="Line_Builder2"/>
      <sheetName val="Change_Log2"/>
      <sheetName val="Previous_Forcasting_notes2"/>
      <sheetName val="LL_CHANGE_TYPE1"/>
      <sheetName val="List"/>
      <sheetName val="recap (3)"/>
      <sheetName val="recap (2)"/>
      <sheetName val="recap"/>
      <sheetName val="Sheet1"/>
      <sheetName val="Sheet2"/>
      <sheetName val="Development list"/>
      <sheetName val="1st priority recap (2)"/>
      <sheetName val="1st priority recap"/>
      <sheetName val="1st priority"/>
      <sheetName val="Dropped"/>
      <sheetName val="Summary (PT)"/>
      <sheetName val="Useful Codes"/>
      <sheetName val="Capacity Group"/>
      <sheetName val="Prod Sub Category(HS3)"/>
      <sheetName val="Change 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ABRIC CODE"/>
      <sheetName val="SUPPLIER"/>
      <sheetName val="BUYER"/>
      <sheetName val="MISC"/>
      <sheetName val="LAB DIP"/>
      <sheetName val="FORMAT(1)"/>
      <sheetName val="FORMAT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QUIPMENT LL S'11"/>
      <sheetName val="CHANGE LOG"/>
      <sheetName val="SAP#"/>
      <sheetName val="Validation"/>
      <sheetName val="Line 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QUIPMENT LL S'11"/>
      <sheetName val="CHANGE LOG"/>
      <sheetName val="SAP#"/>
      <sheetName val="Validation"/>
      <sheetName val="Line 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 Builder"/>
      <sheetName val="Change Log"/>
      <sheetName val="Validation"/>
      <sheetName val="metrics"/>
      <sheetName val="SAP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CUMENT"/>
      <sheetName val="S-Plan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CUMEN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"/>
      <sheetName val="S-Plan"/>
      <sheetName val="Data Validation"/>
      <sheetName val="Sheet1"/>
      <sheetName val="Sheet"/>
      <sheetName val="Sheet3"/>
      <sheetName val="DC NEW"/>
      <sheetName val="wip "/>
      <sheetName val="Packing List"/>
      <sheetName val="KPI 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LOUR"/>
      <sheetName val="SIZE"/>
      <sheetName val="09.7000"/>
      <sheetName val="15.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LOUR"/>
      <sheetName val="SIZE"/>
      <sheetName val="155254 A"/>
      <sheetName val="155254 (ADD)"/>
      <sheetName val="159700 B1"/>
      <sheetName val="159700 B2"/>
      <sheetName val="159715 C"/>
      <sheetName val="159717 D1"/>
      <sheetName val="159717 D2"/>
      <sheetName val="159723 E"/>
      <sheetName val="159725 F"/>
      <sheetName val="159734 G"/>
      <sheetName val="159748 H"/>
      <sheetName val="159880 I 1"/>
      <sheetName val="159880 I 2 ADD"/>
      <sheetName val="159887 J"/>
      <sheetName val="159891 K"/>
      <sheetName val="159892 L"/>
      <sheetName val="159893 M1"/>
      <sheetName val="159893 M2"/>
      <sheetName val="INTERLINING"/>
      <sheetName val="BENANG"/>
      <sheetName val="BENANG (2)"/>
      <sheetName val="WTG89-20"/>
      <sheetName val="WTG89-20 (8%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 Builder"/>
      <sheetName val="Change Log"/>
      <sheetName val="Validation"/>
      <sheetName val="Previous Forcasting notes"/>
      <sheetName val="Line_Builder"/>
      <sheetName val="Change_Log"/>
      <sheetName val="Previous_Forcasting_notes"/>
      <sheetName val="Data_Validation"/>
      <sheetName val="LL CHANGE TYPE"/>
      <sheetName val="Line_Builder3"/>
      <sheetName val="Change_Log3"/>
      <sheetName val="Previous_Forcasting_notes3"/>
      <sheetName val="LL_CHANGE_TYPE2"/>
      <sheetName val="Line_Builder1"/>
      <sheetName val="Change_Log1"/>
      <sheetName val="Previous_Forcasting_notes1"/>
      <sheetName val="LL_CHANGE_TYPE"/>
      <sheetName val="Line_Builder2"/>
      <sheetName val="Change_Log2"/>
      <sheetName val="Previous_Forcasting_notes2"/>
      <sheetName val="LL_CHANGE_TYPE1"/>
      <sheetName val="List"/>
      <sheetName val="recap (3)"/>
      <sheetName val="recap (2)"/>
      <sheetName val="recap"/>
      <sheetName val="Sheet1"/>
      <sheetName val="Sheet2"/>
      <sheetName val="Development list"/>
      <sheetName val="1st priority recap (2)"/>
      <sheetName val="1st priority recap"/>
      <sheetName val="1st priority"/>
      <sheetName val="Dropped"/>
      <sheetName val="Summary (PT)"/>
      <sheetName val="Useful Codes"/>
      <sheetName val="Capacity Group"/>
      <sheetName val="Prod Sub Category(HS3)"/>
      <sheetName val="Change 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LOUR"/>
      <sheetName val="SIZE"/>
      <sheetName val="155226"/>
      <sheetName val="2032A290"/>
      <sheetName val="2032A296"/>
      <sheetName val="2111A089"/>
      <sheetName val="2111A2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 Builder"/>
      <sheetName val="Change Log"/>
      <sheetName val="Validation"/>
      <sheetName val="metric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DPL"/>
      <sheetName val="CCI"/>
      <sheetName val="Sheet"/>
    </sheetNames>
    <sheetDataSet>
      <sheetData sheetId="0">
        <row r="2">
          <cell r="A2" t="str">
            <v>CONTINENT 8 PTE LTD</v>
          </cell>
          <cell r="J2" t="str">
            <v>PO04515</v>
          </cell>
        </row>
        <row r="3">
          <cell r="A3" t="str">
            <v xml:space="preserve">300 TAMPINES AVENUE 5, #. 09-02, </v>
          </cell>
        </row>
        <row r="4">
          <cell r="A4" t="str">
            <v>INCOME AT TAMPINES JUNCTION SINGAPORE 529653</v>
          </cell>
        </row>
        <row r="5">
          <cell r="A5" t="str">
            <v>AT TAMPINES JUNCTION SINGAPORE 529653</v>
          </cell>
        </row>
        <row r="15">
          <cell r="A15" t="str">
            <v>NRI CA Warehouse (Ecomm)</v>
          </cell>
        </row>
        <row r="16">
          <cell r="A16" t="str">
            <v>tentree c/o NRI Distribution Inc. - receiving</v>
          </cell>
        </row>
        <row r="17">
          <cell r="A17" t="str">
            <v>8205 Dallas Dr</v>
          </cell>
        </row>
        <row r="18">
          <cell r="A18" t="str">
            <v>Kamloops, BC</v>
          </cell>
        </row>
        <row r="19">
          <cell r="A19" t="str">
            <v>V2C 6X2, Canada</v>
          </cell>
        </row>
        <row r="20">
          <cell r="A20" t="str">
            <v>Contact: Alyssa Clisby</v>
          </cell>
        </row>
        <row r="21">
          <cell r="A21" t="str">
            <v>250 573 2619</v>
          </cell>
        </row>
        <row r="22">
          <cell r="A22" t="str">
            <v>Alyssa.Clisby@nri-distribution.com</v>
          </cell>
        </row>
      </sheetData>
      <sheetData sheetId="1">
        <row r="104">
          <cell r="B104">
            <v>54</v>
          </cell>
        </row>
        <row r="106">
          <cell r="B106">
            <v>462.16199999999998</v>
          </cell>
        </row>
        <row r="107">
          <cell r="B107">
            <v>398.86200000000008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67"/>
  <sheetViews>
    <sheetView view="pageBreakPreview" topLeftCell="C19" zoomScaleNormal="100" zoomScaleSheetLayoutView="100" workbookViewId="0">
      <selection activeCell="C1" sqref="A1:XFD1048576"/>
    </sheetView>
  </sheetViews>
  <sheetFormatPr defaultColWidth="12.5703125" defaultRowHeight="15" customHeight="1"/>
  <cols>
    <col min="1" max="1" width="12" style="13" customWidth="1"/>
    <col min="2" max="2" width="16.42578125" style="13" customWidth="1"/>
    <col min="3" max="3" width="13.42578125" style="13" customWidth="1"/>
    <col min="4" max="4" width="25.7109375" style="13" customWidth="1"/>
    <col min="5" max="5" width="20.85546875" style="13" customWidth="1"/>
    <col min="6" max="6" width="9.5703125" style="13" customWidth="1"/>
    <col min="7" max="7" width="10.5703125" style="13" customWidth="1"/>
    <col min="8" max="8" width="55.85546875" style="13" customWidth="1"/>
    <col min="9" max="9" width="17.140625" style="13" customWidth="1"/>
    <col min="10" max="10" width="11.85546875" style="13" customWidth="1"/>
    <col min="11" max="11" width="10.85546875" style="13" customWidth="1"/>
    <col min="12" max="12" width="14.42578125" style="13" customWidth="1"/>
    <col min="13" max="13" width="11.42578125" style="13" customWidth="1"/>
    <col min="14" max="14" width="10.85546875" style="13" customWidth="1"/>
    <col min="15" max="25" width="8.5703125" style="13" customWidth="1"/>
    <col min="26" max="16384" width="12.5703125" style="13"/>
  </cols>
  <sheetData>
    <row r="1" spans="1:14" ht="44.25" customHeight="1">
      <c r="A1" s="19"/>
      <c r="B1" s="20"/>
      <c r="C1" s="21"/>
      <c r="D1" s="21"/>
      <c r="E1" s="21"/>
      <c r="F1" s="20"/>
      <c r="G1" s="20"/>
      <c r="H1" s="22"/>
      <c r="I1" s="22"/>
      <c r="J1" s="22"/>
      <c r="K1" s="22"/>
      <c r="L1" s="22"/>
    </row>
    <row r="2" spans="1:14" ht="16.5" customHeight="1">
      <c r="A2" s="42" t="s">
        <v>49</v>
      </c>
      <c r="B2" s="23"/>
      <c r="C2" s="24"/>
      <c r="D2" s="24"/>
      <c r="F2" s="23"/>
      <c r="G2" s="23"/>
      <c r="H2" s="35" t="s">
        <v>8</v>
      </c>
      <c r="I2" s="44" t="s">
        <v>220</v>
      </c>
      <c r="K2" s="26"/>
      <c r="L2" s="27"/>
    </row>
    <row r="3" spans="1:14" ht="16.5" customHeight="1">
      <c r="A3" s="41" t="s">
        <v>50</v>
      </c>
      <c r="B3" s="26"/>
      <c r="C3" s="21"/>
      <c r="D3" s="21"/>
      <c r="F3" s="26"/>
      <c r="G3" s="26"/>
      <c r="H3" s="26" t="s">
        <v>9</v>
      </c>
      <c r="I3" s="232" t="s">
        <v>221</v>
      </c>
      <c r="L3" s="21"/>
    </row>
    <row r="4" spans="1:14" ht="16.5" customHeight="1">
      <c r="A4" s="41" t="s">
        <v>51</v>
      </c>
      <c r="B4" s="27"/>
      <c r="C4" s="28"/>
      <c r="D4" s="28"/>
      <c r="F4" s="29"/>
      <c r="G4" s="30"/>
      <c r="H4" s="26" t="s">
        <v>10</v>
      </c>
      <c r="I4" s="164">
        <v>46149</v>
      </c>
      <c r="J4" s="165"/>
      <c r="L4" s="21"/>
    </row>
    <row r="5" spans="1:14" ht="16.5" customHeight="1">
      <c r="A5" s="41" t="s">
        <v>52</v>
      </c>
      <c r="B5" s="27"/>
      <c r="C5" s="31"/>
      <c r="D5" s="31"/>
      <c r="F5" s="27"/>
      <c r="G5" s="32"/>
      <c r="H5" s="35" t="s">
        <v>11</v>
      </c>
      <c r="I5" s="34" t="s">
        <v>222</v>
      </c>
      <c r="J5" s="34"/>
      <c r="L5" s="21"/>
      <c r="N5" s="188"/>
    </row>
    <row r="6" spans="1:14" ht="16.5" customHeight="1">
      <c r="A6" s="32"/>
      <c r="B6" s="27"/>
      <c r="C6" s="31"/>
      <c r="D6" s="31"/>
      <c r="F6" s="27"/>
      <c r="G6" s="32"/>
      <c r="H6" s="35" t="s">
        <v>12</v>
      </c>
      <c r="I6" s="190" t="s">
        <v>223</v>
      </c>
      <c r="J6" s="34"/>
      <c r="L6" s="21"/>
    </row>
    <row r="7" spans="1:14" ht="16.5" customHeight="1">
      <c r="A7" s="43" t="s">
        <v>54</v>
      </c>
      <c r="B7" s="27"/>
      <c r="C7" s="31"/>
      <c r="D7" s="31"/>
      <c r="F7" s="27"/>
      <c r="G7" s="32"/>
      <c r="H7" s="35" t="s">
        <v>93</v>
      </c>
      <c r="I7" s="231">
        <v>46153</v>
      </c>
      <c r="J7" s="34"/>
      <c r="L7" s="21"/>
    </row>
    <row r="8" spans="1:14" ht="16.5" customHeight="1">
      <c r="A8" s="39" t="s">
        <v>55</v>
      </c>
      <c r="B8" s="27"/>
      <c r="C8" s="31"/>
      <c r="D8" s="31"/>
      <c r="E8" s="228"/>
      <c r="F8" s="27"/>
      <c r="G8" s="32"/>
      <c r="H8" s="35" t="s">
        <v>13</v>
      </c>
      <c r="I8" s="229">
        <v>46203</v>
      </c>
      <c r="J8" s="34"/>
      <c r="L8" s="21"/>
    </row>
    <row r="9" spans="1:14" ht="16.5" customHeight="1">
      <c r="A9" s="40" t="s">
        <v>56</v>
      </c>
      <c r="B9" s="27"/>
      <c r="C9" s="31"/>
      <c r="D9" s="31"/>
      <c r="F9" s="27"/>
      <c r="G9" s="32"/>
      <c r="H9" s="35" t="s">
        <v>14</v>
      </c>
      <c r="I9" s="34" t="s">
        <v>59</v>
      </c>
      <c r="J9" s="34"/>
      <c r="L9" s="21"/>
    </row>
    <row r="10" spans="1:14" ht="16.5" customHeight="1">
      <c r="A10" s="40" t="s">
        <v>57</v>
      </c>
      <c r="B10" s="27"/>
      <c r="C10" s="31"/>
      <c r="D10" s="31"/>
      <c r="E10" s="228"/>
      <c r="F10" s="27"/>
      <c r="G10" s="32"/>
      <c r="H10" s="35" t="s">
        <v>15</v>
      </c>
      <c r="I10" s="34" t="s">
        <v>218</v>
      </c>
      <c r="J10" s="34"/>
      <c r="L10" s="21"/>
    </row>
    <row r="11" spans="1:14" ht="16.5" customHeight="1">
      <c r="A11" s="41" t="s">
        <v>58</v>
      </c>
      <c r="B11" s="27"/>
      <c r="C11" s="31"/>
      <c r="D11" s="31"/>
      <c r="E11" s="31"/>
      <c r="F11" s="27"/>
      <c r="G11" s="32"/>
      <c r="H11" s="35" t="s">
        <v>16</v>
      </c>
      <c r="I11" s="34"/>
      <c r="J11" s="34"/>
      <c r="L11" s="21"/>
    </row>
    <row r="12" spans="1:14" ht="16.5" customHeight="1">
      <c r="A12" s="605" t="s">
        <v>17</v>
      </c>
      <c r="B12" s="606"/>
      <c r="C12" s="606"/>
      <c r="D12" s="606"/>
      <c r="E12" s="606"/>
      <c r="F12" s="606"/>
      <c r="G12" s="606"/>
      <c r="H12" s="26" t="s">
        <v>18</v>
      </c>
      <c r="I12" s="34" t="s">
        <v>53</v>
      </c>
      <c r="J12" s="34"/>
      <c r="L12" s="21"/>
    </row>
    <row r="13" spans="1:14" ht="11.25" customHeight="1">
      <c r="A13" s="27"/>
      <c r="B13" s="22"/>
      <c r="C13" s="33"/>
      <c r="D13" s="33"/>
      <c r="E13" s="33"/>
      <c r="F13" s="22"/>
      <c r="G13" s="22"/>
      <c r="L13" s="21"/>
    </row>
    <row r="14" spans="1:14" ht="16.5" customHeight="1">
      <c r="A14" s="34" t="s">
        <v>19</v>
      </c>
      <c r="B14" s="27"/>
      <c r="D14" s="34" t="s">
        <v>20</v>
      </c>
      <c r="E14" s="31"/>
      <c r="F14" s="27"/>
      <c r="G14" s="32"/>
      <c r="H14" s="25"/>
      <c r="I14" s="27"/>
      <c r="L14" s="21"/>
    </row>
    <row r="15" spans="1:14" ht="16.5" customHeight="1">
      <c r="A15" s="34" t="s">
        <v>207</v>
      </c>
      <c r="B15" s="31"/>
      <c r="D15" s="34" t="s">
        <v>199</v>
      </c>
      <c r="E15" s="31"/>
      <c r="F15" s="27"/>
      <c r="G15" s="32"/>
      <c r="H15" s="25"/>
      <c r="I15" s="27"/>
      <c r="L15" s="21"/>
    </row>
    <row r="16" spans="1:14" ht="16.5" customHeight="1">
      <c r="A16" s="13" t="s">
        <v>208</v>
      </c>
      <c r="B16" s="31"/>
      <c r="D16" s="226" t="s">
        <v>21</v>
      </c>
      <c r="E16" s="31"/>
      <c r="F16" s="27"/>
      <c r="G16" s="32"/>
      <c r="H16" s="25"/>
      <c r="I16" s="27"/>
      <c r="L16" s="21"/>
    </row>
    <row r="17" spans="1:14" ht="16.5" customHeight="1">
      <c r="A17" s="13" t="s">
        <v>209</v>
      </c>
      <c r="B17" s="31"/>
      <c r="D17" s="226" t="s">
        <v>22</v>
      </c>
      <c r="E17" s="31"/>
      <c r="F17" s="27"/>
      <c r="G17" s="32"/>
      <c r="H17" s="25"/>
      <c r="I17" s="27"/>
      <c r="L17" s="21"/>
    </row>
    <row r="18" spans="1:14" ht="16.5" customHeight="1">
      <c r="A18" s="13" t="s">
        <v>210</v>
      </c>
      <c r="B18" s="27"/>
      <c r="D18" s="226" t="s">
        <v>200</v>
      </c>
      <c r="E18" s="31"/>
      <c r="F18" s="27"/>
      <c r="G18" s="32"/>
      <c r="H18" s="25"/>
      <c r="I18" s="27"/>
      <c r="L18" s="21"/>
    </row>
    <row r="19" spans="1:14" ht="16.5" customHeight="1">
      <c r="A19" s="13" t="s">
        <v>211</v>
      </c>
      <c r="B19" s="27"/>
      <c r="D19" s="227" t="s">
        <v>201</v>
      </c>
      <c r="E19" s="31"/>
      <c r="F19" s="27"/>
      <c r="G19" s="32"/>
      <c r="H19" s="25"/>
      <c r="I19" s="27"/>
      <c r="L19" s="21"/>
    </row>
    <row r="20" spans="1:14" ht="16.5" customHeight="1">
      <c r="A20" s="13" t="s">
        <v>212</v>
      </c>
      <c r="B20" s="27"/>
      <c r="D20" s="226" t="s">
        <v>202</v>
      </c>
      <c r="E20" s="31"/>
      <c r="F20" s="27"/>
      <c r="G20" s="32"/>
      <c r="H20" s="25"/>
      <c r="I20" s="27"/>
      <c r="L20" s="21"/>
    </row>
    <row r="21" spans="1:14" ht="16.5" customHeight="1">
      <c r="A21" s="13" t="s">
        <v>213</v>
      </c>
      <c r="B21" s="27"/>
      <c r="D21" s="226"/>
      <c r="E21" s="31"/>
      <c r="F21" s="27"/>
      <c r="G21" s="32"/>
      <c r="H21" s="25"/>
      <c r="I21" s="27"/>
      <c r="L21" s="21"/>
    </row>
    <row r="22" spans="1:14" ht="16.5" customHeight="1">
      <c r="A22" s="13" t="s">
        <v>211</v>
      </c>
      <c r="B22" s="27"/>
      <c r="D22" s="226"/>
      <c r="E22" s="31"/>
      <c r="F22" s="27"/>
      <c r="G22" s="32"/>
      <c r="H22" s="25"/>
      <c r="I22" s="27"/>
      <c r="L22" s="21"/>
    </row>
    <row r="23" spans="1:14" ht="16.5" customHeight="1">
      <c r="A23" s="228" t="s">
        <v>214</v>
      </c>
      <c r="B23" s="27"/>
      <c r="D23" s="226"/>
      <c r="E23" s="31"/>
      <c r="F23" s="27"/>
      <c r="G23" s="32"/>
      <c r="H23" s="25"/>
      <c r="I23" s="27"/>
      <c r="L23" s="21"/>
    </row>
    <row r="24" spans="1:14" ht="16.5" customHeight="1">
      <c r="A24" s="13" t="s">
        <v>215</v>
      </c>
      <c r="B24" s="27"/>
      <c r="D24" s="226"/>
      <c r="E24" s="31"/>
      <c r="F24" s="27"/>
      <c r="G24" s="32"/>
      <c r="H24" s="25"/>
      <c r="I24" s="27"/>
      <c r="L24" s="21"/>
    </row>
    <row r="25" spans="1:14" ht="16.5" customHeight="1">
      <c r="A25" s="228" t="s">
        <v>216</v>
      </c>
      <c r="B25" s="27"/>
      <c r="D25" s="226"/>
      <c r="E25" s="31"/>
      <c r="F25" s="27"/>
      <c r="G25" s="32"/>
      <c r="H25" s="25"/>
      <c r="I25" s="27"/>
      <c r="L25" s="21"/>
    </row>
    <row r="26" spans="1:14" ht="9" customHeight="1" thickBot="1"/>
    <row r="27" spans="1:14" ht="39" customHeight="1" thickBot="1">
      <c r="A27" s="15" t="s">
        <v>23</v>
      </c>
      <c r="B27" s="16" t="s">
        <v>206</v>
      </c>
      <c r="C27" s="266" t="s">
        <v>1</v>
      </c>
      <c r="D27" s="266" t="s">
        <v>26</v>
      </c>
      <c r="E27" s="266" t="s">
        <v>27</v>
      </c>
      <c r="F27" s="266" t="s">
        <v>3</v>
      </c>
      <c r="G27" s="266" t="s">
        <v>2</v>
      </c>
      <c r="H27" s="266" t="s">
        <v>4</v>
      </c>
      <c r="I27" s="266" t="s">
        <v>0</v>
      </c>
      <c r="J27" s="273" t="s">
        <v>28</v>
      </c>
      <c r="K27" s="267" t="s">
        <v>29</v>
      </c>
      <c r="L27" s="286" t="s">
        <v>30</v>
      </c>
    </row>
    <row r="28" spans="1:14" ht="15" customHeight="1">
      <c r="A28" s="199" t="str">
        <f>I2</f>
        <v>PO04774</v>
      </c>
      <c r="B28" s="200" t="s">
        <v>224</v>
      </c>
      <c r="C28" s="201" t="s">
        <v>226</v>
      </c>
      <c r="D28" s="201" t="s">
        <v>225</v>
      </c>
      <c r="E28" s="200" t="s">
        <v>227</v>
      </c>
      <c r="F28" s="201" t="s">
        <v>7</v>
      </c>
      <c r="G28" s="201" t="s">
        <v>6</v>
      </c>
      <c r="H28" s="234" t="s">
        <v>228</v>
      </c>
      <c r="I28" s="254" t="s">
        <v>229</v>
      </c>
      <c r="J28" s="202">
        <v>40</v>
      </c>
      <c r="K28" s="298">
        <v>23.35</v>
      </c>
      <c r="L28" s="204">
        <f>J28*K28</f>
        <v>934</v>
      </c>
      <c r="M28" s="13">
        <v>39.69</v>
      </c>
      <c r="N28" s="203">
        <v>52.92</v>
      </c>
    </row>
    <row r="29" spans="1:14" ht="15" customHeight="1">
      <c r="A29" s="199" t="str">
        <f>A28</f>
        <v>PO04774</v>
      </c>
      <c r="B29" s="200" t="s">
        <v>231</v>
      </c>
      <c r="C29" s="201" t="s">
        <v>226</v>
      </c>
      <c r="D29" s="201" t="str">
        <f>D28</f>
        <v>W Flint Pant</v>
      </c>
      <c r="E29" s="200" t="s">
        <v>230</v>
      </c>
      <c r="F29" s="201" t="s">
        <v>7</v>
      </c>
      <c r="G29" s="201" t="s">
        <v>6</v>
      </c>
      <c r="H29" s="234" t="s">
        <v>228</v>
      </c>
      <c r="I29" s="254" t="s">
        <v>229</v>
      </c>
      <c r="J29" s="202">
        <v>49</v>
      </c>
      <c r="K29" s="298">
        <v>23.35</v>
      </c>
      <c r="L29" s="204">
        <f>J29*K29</f>
        <v>1144.1500000000001</v>
      </c>
      <c r="N29" s="203"/>
    </row>
    <row r="30" spans="1:14" ht="15" customHeight="1">
      <c r="A30" s="235" t="str">
        <f>A28</f>
        <v>PO04774</v>
      </c>
      <c r="B30" s="206" t="s">
        <v>232</v>
      </c>
      <c r="C30" s="205" t="s">
        <v>226</v>
      </c>
      <c r="D30" s="236" t="s">
        <v>234</v>
      </c>
      <c r="E30" s="237" t="s">
        <v>227</v>
      </c>
      <c r="F30" s="238" t="s">
        <v>7</v>
      </c>
      <c r="G30" s="238" t="s">
        <v>5</v>
      </c>
      <c r="H30" s="239" t="s">
        <v>228</v>
      </c>
      <c r="I30" s="240" t="s">
        <v>235</v>
      </c>
      <c r="J30" s="208">
        <v>50</v>
      </c>
      <c r="K30" s="287">
        <v>25.4</v>
      </c>
      <c r="L30" s="207">
        <f>J30*K30</f>
        <v>1270</v>
      </c>
      <c r="M30" s="13">
        <v>45</v>
      </c>
      <c r="N30" s="241">
        <v>60</v>
      </c>
    </row>
    <row r="31" spans="1:14" ht="15" customHeight="1">
      <c r="A31" s="235" t="str">
        <f>A28</f>
        <v>PO04774</v>
      </c>
      <c r="B31" s="206" t="s">
        <v>233</v>
      </c>
      <c r="C31" s="205" t="s">
        <v>226</v>
      </c>
      <c r="D31" s="236" t="str">
        <f>D30</f>
        <v>M Clark Pant</v>
      </c>
      <c r="E31" s="237" t="s">
        <v>230</v>
      </c>
      <c r="F31" s="238" t="s">
        <v>7</v>
      </c>
      <c r="G31" s="238" t="s">
        <v>5</v>
      </c>
      <c r="H31" s="239" t="str">
        <f>H30</f>
        <v>53% Organic Cotton, 45% Recycled Polyester, 2% Spandex</v>
      </c>
      <c r="I31" s="240" t="s">
        <v>235</v>
      </c>
      <c r="J31" s="208">
        <v>42</v>
      </c>
      <c r="K31" s="287">
        <v>25.4</v>
      </c>
      <c r="L31" s="207">
        <f t="shared" ref="L31" si="0">J31*K31</f>
        <v>1066.8</v>
      </c>
      <c r="N31" s="241"/>
    </row>
    <row r="32" spans="1:14" ht="15" customHeight="1">
      <c r="A32" s="244" t="str">
        <f>A30</f>
        <v>PO04774</v>
      </c>
      <c r="B32" s="245" t="s">
        <v>236</v>
      </c>
      <c r="C32" s="246" t="s">
        <v>196</v>
      </c>
      <c r="D32" s="247" t="s">
        <v>238</v>
      </c>
      <c r="E32" s="245" t="s">
        <v>227</v>
      </c>
      <c r="F32" s="248" t="s">
        <v>7</v>
      </c>
      <c r="G32" s="248" t="s">
        <v>6</v>
      </c>
      <c r="H32" s="249" t="s">
        <v>195</v>
      </c>
      <c r="I32" s="250" t="s">
        <v>239</v>
      </c>
      <c r="J32" s="251">
        <v>79</v>
      </c>
      <c r="K32" s="288">
        <v>21.85</v>
      </c>
      <c r="L32" s="253">
        <f t="shared" ref="L32:L39" si="1">J32*K32</f>
        <v>1726.15</v>
      </c>
      <c r="M32" s="13">
        <v>48.12</v>
      </c>
      <c r="N32" s="252">
        <v>64.16</v>
      </c>
    </row>
    <row r="33" spans="1:19" ht="15" customHeight="1">
      <c r="A33" s="244" t="str">
        <f>A28</f>
        <v>PO04774</v>
      </c>
      <c r="B33" s="245" t="s">
        <v>237</v>
      </c>
      <c r="C33" s="246" t="s">
        <v>196</v>
      </c>
      <c r="D33" s="247" t="s">
        <v>238</v>
      </c>
      <c r="E33" s="245" t="s">
        <v>230</v>
      </c>
      <c r="F33" s="248" t="s">
        <v>7</v>
      </c>
      <c r="G33" s="248" t="s">
        <v>6</v>
      </c>
      <c r="H33" s="249" t="s">
        <v>195</v>
      </c>
      <c r="I33" s="250" t="s">
        <v>239</v>
      </c>
      <c r="J33" s="251">
        <v>75</v>
      </c>
      <c r="K33" s="288">
        <v>21.85</v>
      </c>
      <c r="L33" s="253">
        <f t="shared" si="1"/>
        <v>1638.75</v>
      </c>
      <c r="N33" s="252"/>
    </row>
    <row r="34" spans="1:19" ht="15" customHeight="1">
      <c r="A34" s="257" t="str">
        <f>A28</f>
        <v>PO04774</v>
      </c>
      <c r="B34" s="297" t="s">
        <v>241</v>
      </c>
      <c r="C34" s="242" t="s">
        <v>196</v>
      </c>
      <c r="D34" s="242" t="s">
        <v>242</v>
      </c>
      <c r="E34" s="255" t="s">
        <v>230</v>
      </c>
      <c r="F34" s="242" t="s">
        <v>7</v>
      </c>
      <c r="G34" s="242" t="s">
        <v>5</v>
      </c>
      <c r="H34" s="256" t="s">
        <v>195</v>
      </c>
      <c r="I34" s="243" t="s">
        <v>244</v>
      </c>
      <c r="J34" s="410">
        <f>+'PL-PO04774'!N118</f>
        <v>47</v>
      </c>
      <c r="K34" s="289">
        <v>27.48</v>
      </c>
      <c r="L34" s="296">
        <f t="shared" si="1"/>
        <v>1291.56</v>
      </c>
      <c r="M34" s="13">
        <v>73.86</v>
      </c>
      <c r="N34" s="209"/>
    </row>
    <row r="35" spans="1:19" ht="15" customHeight="1">
      <c r="A35" s="257" t="str">
        <f>A32</f>
        <v>PO04774</v>
      </c>
      <c r="B35" s="297" t="s">
        <v>240</v>
      </c>
      <c r="C35" s="242" t="s">
        <v>196</v>
      </c>
      <c r="D35" s="242" t="s">
        <v>242</v>
      </c>
      <c r="E35" s="255" t="s">
        <v>243</v>
      </c>
      <c r="F35" s="242" t="s">
        <v>7</v>
      </c>
      <c r="G35" s="242" t="s">
        <v>5</v>
      </c>
      <c r="H35" s="256" t="s">
        <v>195</v>
      </c>
      <c r="I35" s="243" t="s">
        <v>244</v>
      </c>
      <c r="J35" s="410">
        <f>+'PL-PO04774'!N119</f>
        <v>35</v>
      </c>
      <c r="K35" s="289">
        <v>27.48</v>
      </c>
      <c r="L35" s="296">
        <f t="shared" si="1"/>
        <v>961.80000000000007</v>
      </c>
      <c r="M35" s="13">
        <v>73.86</v>
      </c>
      <c r="N35" s="209">
        <v>98.48</v>
      </c>
    </row>
    <row r="36" spans="1:19" ht="15" customHeight="1">
      <c r="A36" s="210" t="str">
        <f>A35</f>
        <v>PO04774</v>
      </c>
      <c r="B36" s="211" t="s">
        <v>245</v>
      </c>
      <c r="C36" s="258" t="s">
        <v>196</v>
      </c>
      <c r="D36" s="212" t="s">
        <v>247</v>
      </c>
      <c r="E36" s="211" t="s">
        <v>227</v>
      </c>
      <c r="F36" s="258" t="s">
        <v>7</v>
      </c>
      <c r="G36" s="258" t="s">
        <v>6</v>
      </c>
      <c r="H36" s="213" t="s">
        <v>195</v>
      </c>
      <c r="I36" s="259" t="s">
        <v>239</v>
      </c>
      <c r="J36" s="214">
        <v>41</v>
      </c>
      <c r="K36" s="290">
        <v>22.5</v>
      </c>
      <c r="L36" s="216">
        <f t="shared" si="1"/>
        <v>922.5</v>
      </c>
      <c r="M36" s="13">
        <v>50.010000000000005</v>
      </c>
      <c r="N36" s="215">
        <v>66.680000000000007</v>
      </c>
      <c r="P36" s="189"/>
    </row>
    <row r="37" spans="1:19" ht="15" customHeight="1">
      <c r="A37" s="210" t="str">
        <f>A28</f>
        <v>PO04774</v>
      </c>
      <c r="B37" s="211" t="s">
        <v>246</v>
      </c>
      <c r="C37" s="258" t="s">
        <v>196</v>
      </c>
      <c r="D37" s="212" t="s">
        <v>247</v>
      </c>
      <c r="E37" s="211" t="s">
        <v>230</v>
      </c>
      <c r="F37" s="258" t="s">
        <v>7</v>
      </c>
      <c r="G37" s="258" t="s">
        <v>6</v>
      </c>
      <c r="H37" s="213" t="s">
        <v>195</v>
      </c>
      <c r="I37" s="259" t="s">
        <v>239</v>
      </c>
      <c r="J37" s="214">
        <v>27</v>
      </c>
      <c r="K37" s="290">
        <v>22.5</v>
      </c>
      <c r="L37" s="216">
        <f t="shared" si="1"/>
        <v>607.5</v>
      </c>
      <c r="N37" s="215"/>
      <c r="P37" s="189"/>
    </row>
    <row r="38" spans="1:19" ht="15" customHeight="1">
      <c r="A38" s="264" t="str">
        <f>A36</f>
        <v>PO04774</v>
      </c>
      <c r="B38" s="294" t="s">
        <v>248</v>
      </c>
      <c r="C38" s="260" t="s">
        <v>196</v>
      </c>
      <c r="D38" s="260" t="s">
        <v>249</v>
      </c>
      <c r="E38" s="265" t="s">
        <v>230</v>
      </c>
      <c r="F38" s="217" t="s">
        <v>7</v>
      </c>
      <c r="G38" s="217" t="s">
        <v>5</v>
      </c>
      <c r="H38" s="261" t="s">
        <v>195</v>
      </c>
      <c r="I38" s="270" t="s">
        <v>244</v>
      </c>
      <c r="J38" s="262">
        <v>46</v>
      </c>
      <c r="K38" s="291">
        <v>22.11</v>
      </c>
      <c r="L38" s="295">
        <f t="shared" si="1"/>
        <v>1017.06</v>
      </c>
      <c r="M38" s="13">
        <v>38.14</v>
      </c>
      <c r="N38" s="263">
        <v>57.21</v>
      </c>
      <c r="P38" s="189"/>
    </row>
    <row r="39" spans="1:19" ht="30" customHeight="1">
      <c r="A39" s="218" t="str">
        <f>A30</f>
        <v>PO04774</v>
      </c>
      <c r="B39" s="219" t="s">
        <v>250</v>
      </c>
      <c r="C39" s="268" t="s">
        <v>196</v>
      </c>
      <c r="D39" s="221" t="s">
        <v>197</v>
      </c>
      <c r="E39" s="219" t="s">
        <v>253</v>
      </c>
      <c r="F39" s="268" t="s">
        <v>7</v>
      </c>
      <c r="G39" s="220" t="s">
        <v>6</v>
      </c>
      <c r="H39" s="222" t="s">
        <v>198</v>
      </c>
      <c r="I39" s="271" t="s">
        <v>239</v>
      </c>
      <c r="J39" s="269">
        <v>149</v>
      </c>
      <c r="K39" s="292">
        <v>14.73</v>
      </c>
      <c r="L39" s="224">
        <f t="shared" si="1"/>
        <v>2194.77</v>
      </c>
      <c r="M39" s="230">
        <v>23.1</v>
      </c>
      <c r="N39" s="223">
        <v>34.65</v>
      </c>
      <c r="O39" s="230"/>
      <c r="P39" s="189"/>
    </row>
    <row r="40" spans="1:19" ht="9" customHeight="1" thickBot="1">
      <c r="A40" s="166"/>
      <c r="B40" s="32"/>
      <c r="C40" s="18"/>
      <c r="D40" s="18"/>
      <c r="E40" s="18"/>
      <c r="F40" s="17"/>
      <c r="G40" s="17"/>
      <c r="I40" s="233"/>
      <c r="J40" s="196"/>
      <c r="K40" s="191"/>
      <c r="L40" s="198"/>
    </row>
    <row r="41" spans="1:19" ht="15.75" customHeight="1" thickBot="1">
      <c r="A41" s="36"/>
      <c r="B41" s="293"/>
      <c r="C41" s="293"/>
      <c r="D41" s="37"/>
      <c r="E41" s="37"/>
      <c r="F41" s="37"/>
      <c r="G41" s="37"/>
      <c r="H41" s="38"/>
      <c r="I41" s="38"/>
      <c r="J41" s="195">
        <f>SUM(J28:J40)</f>
        <v>680</v>
      </c>
      <c r="K41" s="192"/>
      <c r="L41" s="197">
        <f>SUM(L28:L40)</f>
        <v>14775.039999999999</v>
      </c>
      <c r="M41" s="193"/>
      <c r="N41" s="194"/>
      <c r="O41" s="194"/>
      <c r="P41" s="194"/>
      <c r="Q41" s="194"/>
      <c r="R41" s="194"/>
      <c r="S41" s="194"/>
    </row>
    <row r="42" spans="1:19" ht="15.75" customHeight="1">
      <c r="A42" s="166" t="s">
        <v>219</v>
      </c>
      <c r="C42" s="34" t="s">
        <v>456</v>
      </c>
      <c r="F42" s="32"/>
      <c r="G42" s="32"/>
      <c r="H42" s="18"/>
      <c r="I42" s="18"/>
      <c r="J42" s="18"/>
      <c r="K42" s="18"/>
      <c r="L42" s="178"/>
      <c r="M42" s="189">
        <f>J41+'INV-PO04786'!J35</f>
        <v>819</v>
      </c>
      <c r="P42" s="13">
        <f>52.92*6</f>
        <v>317.52</v>
      </c>
    </row>
    <row r="43" spans="1:19" ht="6" customHeight="1">
      <c r="A43" s="16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68"/>
      <c r="P43" s="13">
        <v>160</v>
      </c>
    </row>
    <row r="44" spans="1:19" ht="15.75" customHeight="1" thickBot="1">
      <c r="A44" s="169" t="s">
        <v>31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170"/>
    </row>
    <row r="45" spans="1:19" ht="9" customHeight="1">
      <c r="A45" s="171"/>
      <c r="B45" s="5"/>
      <c r="C45" s="5"/>
      <c r="D45" s="5"/>
      <c r="E45" s="5"/>
      <c r="F45" s="5"/>
      <c r="G45" s="14"/>
      <c r="H45" s="5"/>
      <c r="I45" s="5"/>
      <c r="J45" s="5"/>
      <c r="K45" s="5"/>
      <c r="L45" s="172"/>
    </row>
    <row r="46" spans="1:19" ht="15.75" customHeight="1">
      <c r="A46" s="173" t="s">
        <v>149</v>
      </c>
      <c r="B46" s="18"/>
      <c r="C46" s="18"/>
      <c r="D46" s="18"/>
      <c r="E46" s="18"/>
      <c r="F46" s="18"/>
      <c r="G46" s="34" t="s">
        <v>49</v>
      </c>
      <c r="H46" s="18"/>
      <c r="I46" s="18"/>
      <c r="J46" s="18"/>
      <c r="K46" s="18"/>
      <c r="L46" s="168"/>
      <c r="N46" s="272">
        <f>5865.64-N42-N43</f>
        <v>5865.64</v>
      </c>
    </row>
    <row r="47" spans="1:19" ht="15.75" customHeight="1">
      <c r="A47" s="174" t="s">
        <v>204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68"/>
      <c r="N47" s="272">
        <f>N46+P42+P43</f>
        <v>6343.16</v>
      </c>
    </row>
    <row r="48" spans="1:19" ht="15.75" customHeight="1">
      <c r="A48" s="174">
        <v>48624</v>
      </c>
      <c r="B48" s="18"/>
      <c r="C48" s="18"/>
      <c r="D48" s="18"/>
      <c r="E48" s="18"/>
      <c r="F48" s="18"/>
      <c r="H48" s="18"/>
      <c r="I48" s="18"/>
      <c r="J48" s="18"/>
      <c r="K48" s="18"/>
      <c r="L48" s="168"/>
    </row>
    <row r="49" spans="1:14" ht="15.75" customHeight="1">
      <c r="A49" s="174" t="s">
        <v>151</v>
      </c>
      <c r="B49" s="18"/>
      <c r="C49" s="18"/>
      <c r="D49" s="18"/>
      <c r="E49" s="18"/>
      <c r="F49" s="18"/>
      <c r="H49" s="18"/>
      <c r="I49" s="18"/>
      <c r="J49" s="18"/>
      <c r="K49" s="18"/>
      <c r="L49" s="168"/>
      <c r="N49" s="272">
        <f>N47-L41</f>
        <v>-8431.8799999999992</v>
      </c>
    </row>
    <row r="50" spans="1:14" ht="15.75" customHeight="1" thickBot="1">
      <c r="A50" s="174" t="s">
        <v>205</v>
      </c>
      <c r="B50" s="18"/>
      <c r="C50" s="18"/>
      <c r="D50" s="18"/>
      <c r="E50" s="18"/>
      <c r="F50" s="18"/>
      <c r="G50" s="176"/>
      <c r="H50" s="299"/>
      <c r="I50" s="18"/>
      <c r="J50" s="18"/>
      <c r="K50" s="18"/>
      <c r="L50" s="168"/>
    </row>
    <row r="51" spans="1:14" ht="8.25" customHeight="1" thickBot="1">
      <c r="A51" s="175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7"/>
    </row>
    <row r="52" spans="1:14" ht="14.25" customHeight="1"/>
    <row r="53" spans="1:14" ht="14.25" customHeight="1"/>
    <row r="54" spans="1:14" ht="14.25" customHeight="1"/>
    <row r="55" spans="1:14" ht="14.25" customHeight="1">
      <c r="D55" s="191">
        <f>L41+'INV-PO04786'!L35</f>
        <v>18078.36</v>
      </c>
    </row>
    <row r="56" spans="1:14" ht="14.25" customHeight="1"/>
    <row r="57" spans="1:14" ht="14.25" customHeight="1"/>
    <row r="58" spans="1:14" ht="14.25" customHeight="1"/>
    <row r="59" spans="1:14" ht="14.25" customHeight="1"/>
    <row r="60" spans="1:14" ht="14.25" customHeight="1"/>
    <row r="61" spans="1:14" ht="14.25" customHeight="1"/>
    <row r="62" spans="1:14" ht="14.25" customHeight="1"/>
    <row r="63" spans="1:14" ht="14.25" customHeight="1"/>
    <row r="64" spans="1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</sheetData>
  <autoFilter ref="A27:L39" xr:uid="{00000000-0001-0000-0100-000000000000}"/>
  <mergeCells count="1">
    <mergeCell ref="A12:G12"/>
  </mergeCells>
  <dataValidations count="2">
    <dataValidation type="list" allowBlank="1" showErrorMessage="1" sqref="G28:G40" xr:uid="{00000000-0002-0000-0100-000000000000}">
      <formula1>"Mens,Womens,Ungendered"</formula1>
    </dataValidation>
    <dataValidation type="list" allowBlank="1" showErrorMessage="1" sqref="F28:F40" xr:uid="{00000000-0002-0000-0100-000001000000}">
      <formula1>"Dress,Hat,Headware,Hoodie,Jacket,Jacket Waterproof ,Jacket Waterresistent ,Jumpsuit,Outerwear,Pants,Shacket,Shirt,Short,Skirt,Socks,Sweater,Tank,Top,T-shirt,Vest,Bag,Bottle,Other"</formula1>
    </dataValidation>
  </dataValidations>
  <pageMargins left="0.31496062992126" right="0.31496062992126" top="0.30118110199999998" bottom="0.35433070866141703" header="0" footer="0"/>
  <pageSetup paperSize="9" scale="64" orientation="landscape" r:id="rId1"/>
  <headerFooter>
    <oddFooter>&amp;CPage &amp;Pof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42A3-CF5E-438E-978F-78B0E6CF5369}">
  <dimension ref="A1:IU136"/>
  <sheetViews>
    <sheetView view="pageBreakPreview" zoomScaleNormal="139" zoomScaleSheetLayoutView="100" workbookViewId="0">
      <selection activeCell="G14" sqref="G14"/>
    </sheetView>
  </sheetViews>
  <sheetFormatPr defaultRowHeight="14.45" customHeight="1"/>
  <cols>
    <col min="1" max="1" width="6.7109375" style="370" customWidth="1"/>
    <col min="2" max="2" width="2.28515625" style="312" customWidth="1"/>
    <col min="3" max="3" width="4.7109375" style="312" customWidth="1"/>
    <col min="4" max="4" width="17.28515625" style="312" customWidth="1"/>
    <col min="5" max="5" width="17.5703125" style="312" customWidth="1"/>
    <col min="6" max="6" width="13.85546875" style="403" customWidth="1"/>
    <col min="7" max="7" width="14.5703125" style="404" customWidth="1"/>
    <col min="8" max="8" width="22" style="370" customWidth="1"/>
    <col min="9" max="9" width="12.5703125" style="371" customWidth="1"/>
    <col min="10" max="10" width="10.28515625" style="371" customWidth="1"/>
    <col min="11" max="11" width="10" style="370" customWidth="1"/>
    <col min="12" max="12" width="9.5703125" style="405" customWidth="1"/>
    <col min="13" max="13" width="8.140625" style="370" customWidth="1"/>
    <col min="14" max="14" width="12.140625" style="370" customWidth="1"/>
    <col min="15" max="15" width="5.42578125" style="370" customWidth="1"/>
    <col min="16" max="16" width="6.140625" style="370" customWidth="1"/>
    <col min="17" max="17" width="15" style="370" customWidth="1"/>
    <col min="18" max="255" width="9.7109375" style="370" customWidth="1"/>
    <col min="256" max="1024" width="12.28515625" style="13" customWidth="1"/>
    <col min="1025" max="16384" width="9.140625" style="13"/>
  </cols>
  <sheetData>
    <row r="1" spans="1:14" s="32" customFormat="1" ht="24" customHeight="1">
      <c r="A1" s="274" t="str">
        <f>+'INV-PO04774'!A2</f>
        <v>CONTINENT 8 PTE LTD</v>
      </c>
      <c r="B1" s="347"/>
      <c r="C1" s="347"/>
      <c r="D1" s="348"/>
      <c r="E1" s="348"/>
      <c r="F1" s="348"/>
      <c r="G1" s="349"/>
      <c r="H1" s="349"/>
      <c r="I1" s="350"/>
      <c r="J1" s="351"/>
      <c r="K1" s="349"/>
      <c r="L1" s="352"/>
      <c r="N1" s="353"/>
    </row>
    <row r="2" spans="1:14" s="358" customFormat="1" ht="17.25" customHeight="1">
      <c r="A2" s="285" t="str">
        <f>+'INV-PO04774'!A3</f>
        <v xml:space="preserve">300 TAMPINES AVENUE 5, #. 09-02, </v>
      </c>
      <c r="B2" s="347"/>
      <c r="C2" s="347"/>
      <c r="D2" s="348"/>
      <c r="E2" s="348"/>
      <c r="F2" s="348"/>
      <c r="G2" s="354"/>
      <c r="H2" s="354"/>
      <c r="I2" s="355"/>
      <c r="J2" s="356"/>
      <c r="K2" s="354"/>
      <c r="L2" s="357"/>
      <c r="M2" s="32"/>
      <c r="N2" s="353"/>
    </row>
    <row r="3" spans="1:14" s="358" customFormat="1" ht="17.25" customHeight="1">
      <c r="A3" s="285" t="str">
        <f>+'INV-PO04774'!A4</f>
        <v>INCOME AT TAMPINES JUNCTION SINGAPORE 529653</v>
      </c>
      <c r="B3" s="347"/>
      <c r="C3" s="347"/>
      <c r="D3" s="348"/>
      <c r="E3" s="348"/>
      <c r="F3" s="348"/>
      <c r="G3" s="354"/>
      <c r="H3" s="354"/>
      <c r="I3" s="321"/>
      <c r="J3" s="356"/>
      <c r="K3" s="354"/>
      <c r="L3" s="357"/>
      <c r="M3" s="32"/>
      <c r="N3" s="353"/>
    </row>
    <row r="4" spans="1:14" s="358" customFormat="1" ht="17.25" customHeight="1">
      <c r="A4" s="285" t="str">
        <f>+'INV-PO04774'!A5</f>
        <v>AT TAMPINES JUNCTION SINGAPORE 529653</v>
      </c>
      <c r="B4" s="347"/>
      <c r="C4" s="347"/>
      <c r="D4" s="348"/>
      <c r="E4" s="348"/>
      <c r="F4" s="348"/>
      <c r="G4" s="354"/>
      <c r="H4" s="354"/>
      <c r="I4" s="321"/>
      <c r="J4" s="356"/>
      <c r="K4" s="354"/>
      <c r="L4" s="357"/>
      <c r="M4" s="32"/>
      <c r="N4" s="353"/>
    </row>
    <row r="5" spans="1:14" s="360" customFormat="1" ht="17.25" customHeight="1" thickBot="1">
      <c r="A5" s="636" t="s">
        <v>60</v>
      </c>
      <c r="B5" s="636"/>
      <c r="C5" s="636"/>
      <c r="D5" s="636"/>
      <c r="E5" s="636"/>
      <c r="F5" s="636"/>
      <c r="G5" s="636"/>
      <c r="H5" s="636"/>
      <c r="I5" s="636"/>
      <c r="J5" s="636"/>
      <c r="K5" s="636"/>
      <c r="L5" s="359"/>
    </row>
    <row r="6" spans="1:14" s="306" customFormat="1" ht="17.25" customHeight="1">
      <c r="A6" s="361"/>
      <c r="B6" s="362"/>
      <c r="C6" s="363"/>
      <c r="D6" s="363"/>
      <c r="E6" s="363"/>
      <c r="F6" s="363"/>
      <c r="G6" s="361"/>
      <c r="H6" s="364"/>
      <c r="J6" s="275" t="s">
        <v>217</v>
      </c>
      <c r="K6" s="276" t="str">
        <f>+'INV-PO04774'!I2</f>
        <v>PO04774</v>
      </c>
      <c r="L6" s="277"/>
    </row>
    <row r="7" spans="1:14" s="306" customFormat="1" ht="17.25" customHeight="1">
      <c r="A7" s="302" t="s">
        <v>19</v>
      </c>
      <c r="B7" s="303"/>
      <c r="C7" s="303"/>
      <c r="D7" s="304"/>
      <c r="F7" s="304" t="s">
        <v>20</v>
      </c>
      <c r="J7" s="278" t="s">
        <v>61</v>
      </c>
      <c r="K7" s="637" t="str">
        <f>+'INV-PO04774'!I3</f>
        <v>022C8P2605AW26</v>
      </c>
      <c r="L7" s="637"/>
    </row>
    <row r="8" spans="1:14" s="306" customFormat="1" ht="17.25" customHeight="1">
      <c r="A8" s="305" t="str">
        <f>+'INV-PO04774'!A15</f>
        <v xml:space="preserve">Tentree c/o NRI Distribution Inc. </v>
      </c>
      <c r="C8" s="307"/>
      <c r="D8" s="307"/>
      <c r="F8" s="307" t="str">
        <f>+'INV-PO04774'!D15</f>
        <v>Tentree International Canada</v>
      </c>
      <c r="G8" s="366"/>
      <c r="H8" s="366"/>
      <c r="J8" s="278" t="s">
        <v>62</v>
      </c>
      <c r="K8" s="279" t="s">
        <v>63</v>
      </c>
      <c r="L8" s="280"/>
    </row>
    <row r="9" spans="1:14" s="306" customFormat="1" ht="17.25" customHeight="1">
      <c r="A9" s="306" t="str">
        <f>+'INV-PO04774'!A16</f>
        <v>9988 Redwood Avenue</v>
      </c>
      <c r="F9" s="306" t="str">
        <f>+'INV-PO04774'!D16</f>
        <v>230-1275 Venables St.</v>
      </c>
      <c r="G9" s="366"/>
      <c r="H9" s="366"/>
      <c r="J9" s="278" t="s">
        <v>64</v>
      </c>
      <c r="K9" s="637" t="str">
        <f>K7</f>
        <v>022C8P2605AW26</v>
      </c>
      <c r="L9" s="637"/>
    </row>
    <row r="10" spans="1:14" s="306" customFormat="1" ht="18.75" customHeight="1">
      <c r="A10" s="306" t="str">
        <f>+'INV-PO04774'!A17</f>
        <v>LH Building</v>
      </c>
      <c r="F10" s="306" t="str">
        <f>+'INV-PO04774'!D17</f>
        <v>Vancouver, BC V6A 2E4</v>
      </c>
      <c r="J10" s="278" t="s">
        <v>65</v>
      </c>
      <c r="K10" s="281">
        <f>+'INV-PO04774'!I4</f>
        <v>46149</v>
      </c>
      <c r="L10" s="280"/>
    </row>
    <row r="11" spans="1:14" s="306" customFormat="1" ht="18.75" customHeight="1" thickBot="1">
      <c r="A11" s="306" t="str">
        <f>+'INV-PO04774'!A18</f>
        <v>Fontana, California</v>
      </c>
      <c r="F11" s="306" t="str">
        <f>+'INV-PO04774'!D18</f>
        <v>Canada</v>
      </c>
      <c r="H11" s="306" t="s">
        <v>66</v>
      </c>
      <c r="J11" s="282" t="s">
        <v>67</v>
      </c>
      <c r="K11" s="283" t="s">
        <v>451</v>
      </c>
      <c r="L11" s="284"/>
    </row>
    <row r="12" spans="1:14" s="306" customFormat="1" ht="18.75" customHeight="1">
      <c r="A12" s="306" t="str">
        <f>+'INV-PO04774'!A19</f>
        <v>1.323.345.6456</v>
      </c>
      <c r="F12" s="306" t="str">
        <f>+'INV-PO04774'!D19</f>
        <v xml:space="preserve">+7789897887 </v>
      </c>
      <c r="I12" s="368"/>
      <c r="J12" s="369"/>
      <c r="K12" s="307"/>
      <c r="L12" s="365"/>
    </row>
    <row r="13" spans="1:14" s="306" customFormat="1" ht="18.75" customHeight="1">
      <c r="A13" s="306" t="str">
        <f>+'INV-PO04774'!A20</f>
        <v>92335, United States</v>
      </c>
      <c r="F13" s="306" t="str">
        <f>+'INV-PO04774'!D20</f>
        <v>logstics@tentree.com</v>
      </c>
      <c r="I13" s="368"/>
      <c r="J13" s="369"/>
      <c r="K13" s="307"/>
      <c r="L13" s="365"/>
    </row>
    <row r="14" spans="1:14" s="306" customFormat="1" ht="18.75" customHeight="1">
      <c r="A14" s="306" t="str">
        <f>+'INV-PO04774'!A21</f>
        <v>Contact: Yarumi Padilla</v>
      </c>
      <c r="D14" s="308"/>
      <c r="F14" s="309"/>
      <c r="I14" s="368"/>
      <c r="J14" s="369"/>
      <c r="K14" s="307"/>
      <c r="L14" s="365"/>
    </row>
    <row r="15" spans="1:14" s="306" customFormat="1" ht="18.75" customHeight="1">
      <c r="A15" s="306" t="str">
        <f>+'INV-PO04774'!A22</f>
        <v>1.323.345.6456</v>
      </c>
      <c r="D15" s="308"/>
      <c r="E15" s="309"/>
      <c r="F15" s="367"/>
      <c r="I15" s="368"/>
      <c r="J15" s="369"/>
      <c r="K15" s="307"/>
      <c r="L15" s="365"/>
    </row>
    <row r="16" spans="1:14" s="306" customFormat="1" ht="18.75" customHeight="1">
      <c r="A16" s="306" t="str">
        <f>+'INV-PO04774'!A23</f>
        <v>yarumi.padilla@nri-distribution.com</v>
      </c>
      <c r="D16" s="308"/>
      <c r="E16" s="309"/>
      <c r="F16" s="367"/>
      <c r="I16" s="368"/>
      <c r="J16" s="369"/>
      <c r="K16" s="307"/>
      <c r="L16" s="365"/>
    </row>
    <row r="17" spans="1:37" s="306" customFormat="1" ht="18.75" customHeight="1">
      <c r="A17" s="306" t="str">
        <f>+'INV-PO04774'!A24</f>
        <v>Carrier Appointment Email</v>
      </c>
      <c r="B17" s="310"/>
      <c r="C17" s="310"/>
      <c r="D17" s="311"/>
      <c r="E17" s="312"/>
      <c r="F17" s="367"/>
      <c r="I17" s="368"/>
      <c r="J17" s="369"/>
      <c r="K17" s="307"/>
      <c r="L17" s="365"/>
    </row>
    <row r="18" spans="1:37" s="370" customFormat="1" ht="13.5" customHeight="1" thickBot="1">
      <c r="B18" s="310"/>
      <c r="C18" s="310"/>
      <c r="D18" s="310"/>
      <c r="E18" s="310"/>
      <c r="F18" s="310"/>
      <c r="I18" s="371"/>
      <c r="J18" s="371"/>
      <c r="K18" s="372"/>
      <c r="L18" s="373"/>
    </row>
    <row r="19" spans="1:37" s="319" customFormat="1" ht="18" customHeight="1" thickBot="1">
      <c r="A19" s="638" t="s">
        <v>68</v>
      </c>
      <c r="B19" s="639"/>
      <c r="C19" s="639"/>
      <c r="D19" s="639" t="s">
        <v>8</v>
      </c>
      <c r="E19" s="642" t="s">
        <v>24</v>
      </c>
      <c r="F19" s="642" t="s">
        <v>25</v>
      </c>
      <c r="G19" s="642" t="s">
        <v>26</v>
      </c>
      <c r="H19" s="642" t="s">
        <v>27</v>
      </c>
      <c r="I19" s="642" t="s">
        <v>254</v>
      </c>
      <c r="J19" s="642" t="s">
        <v>69</v>
      </c>
      <c r="K19" s="642" t="s">
        <v>255</v>
      </c>
      <c r="L19" s="642" t="s">
        <v>70</v>
      </c>
      <c r="M19" s="642" t="s">
        <v>71</v>
      </c>
      <c r="N19" s="644" t="s">
        <v>256</v>
      </c>
      <c r="O19" s="635" t="s">
        <v>72</v>
      </c>
      <c r="P19" s="635"/>
      <c r="Q19" s="635"/>
      <c r="R19" s="314"/>
      <c r="S19" s="315"/>
      <c r="T19" s="315"/>
      <c r="U19" s="314"/>
      <c r="V19" s="316"/>
      <c r="W19" s="316"/>
      <c r="X19" s="317"/>
      <c r="Y19" s="314"/>
      <c r="Z19" s="315"/>
      <c r="AA19" s="315"/>
      <c r="AB19" s="314"/>
      <c r="AC19" s="314"/>
      <c r="AD19" s="314"/>
      <c r="AE19" s="318"/>
      <c r="AF19" s="314"/>
      <c r="AG19" s="315"/>
      <c r="AH19" s="315"/>
      <c r="AI19" s="314"/>
      <c r="AJ19" s="314"/>
      <c r="AK19" s="318"/>
    </row>
    <row r="20" spans="1:37" s="319" customFormat="1" ht="18" customHeight="1" thickBot="1">
      <c r="A20" s="640"/>
      <c r="B20" s="641"/>
      <c r="C20" s="641"/>
      <c r="D20" s="641"/>
      <c r="E20" s="643"/>
      <c r="F20" s="643"/>
      <c r="G20" s="643"/>
      <c r="H20" s="643"/>
      <c r="I20" s="643"/>
      <c r="J20" s="643"/>
      <c r="K20" s="643"/>
      <c r="L20" s="643"/>
      <c r="M20" s="643"/>
      <c r="N20" s="645"/>
      <c r="O20" s="635"/>
      <c r="P20" s="635"/>
      <c r="Q20" s="635"/>
      <c r="R20" s="320"/>
      <c r="S20" s="315"/>
      <c r="T20" s="321"/>
      <c r="U20" s="321"/>
      <c r="Y20" s="314"/>
      <c r="Z20" s="315"/>
      <c r="AA20" s="315"/>
      <c r="AB20" s="314"/>
      <c r="AC20" s="314"/>
      <c r="AD20" s="314"/>
      <c r="AE20" s="318"/>
      <c r="AF20" s="314"/>
      <c r="AG20" s="315"/>
      <c r="AH20" s="315"/>
      <c r="AI20" s="314"/>
      <c r="AJ20" s="314"/>
      <c r="AK20" s="318"/>
    </row>
    <row r="21" spans="1:37" s="319" customFormat="1" ht="19.149999999999999" customHeight="1">
      <c r="A21" s="433">
        <v>1</v>
      </c>
      <c r="B21" s="327" t="s">
        <v>63</v>
      </c>
      <c r="C21" s="328">
        <f>+A21+I21-1</f>
        <v>1</v>
      </c>
      <c r="D21" s="441" t="str">
        <f>K6</f>
        <v>PO04774</v>
      </c>
      <c r="E21" s="329" t="s">
        <v>257</v>
      </c>
      <c r="F21" s="330">
        <v>661814875897</v>
      </c>
      <c r="G21" s="454" t="str">
        <f>+'INV-PO04774'!D28</f>
        <v>W Flint Pant</v>
      </c>
      <c r="H21" s="454" t="str">
        <f>+'INV-PO04774'!E28</f>
        <v>Ashwood</v>
      </c>
      <c r="I21" s="331">
        <v>1</v>
      </c>
      <c r="J21" s="331">
        <v>1</v>
      </c>
      <c r="K21" s="342">
        <f>J21+J22+J23+J24</f>
        <v>24</v>
      </c>
      <c r="L21" s="343">
        <f>540*J21/1000+560*J22/1000+580*J23/1000+600*J24/1000</f>
        <v>14</v>
      </c>
      <c r="M21" s="343">
        <f>1.65+L21</f>
        <v>15.65</v>
      </c>
      <c r="N21" s="538" t="s">
        <v>258</v>
      </c>
      <c r="O21" s="322">
        <v>2</v>
      </c>
      <c r="P21" s="323">
        <v>285</v>
      </c>
      <c r="Q21" s="542" t="s">
        <v>359</v>
      </c>
      <c r="R21" s="543" t="s">
        <v>360</v>
      </c>
      <c r="S21" s="315"/>
      <c r="T21" s="321"/>
      <c r="U21" s="321"/>
      <c r="Z21" s="324"/>
    </row>
    <row r="22" spans="1:37" s="319" customFormat="1" ht="19.149999999999999" customHeight="1">
      <c r="A22" s="433"/>
      <c r="B22" s="332"/>
      <c r="C22" s="328"/>
      <c r="D22" s="441"/>
      <c r="E22" s="329" t="s">
        <v>259</v>
      </c>
      <c r="F22" s="330">
        <v>661814875873</v>
      </c>
      <c r="G22" s="454"/>
      <c r="H22" s="454"/>
      <c r="I22" s="331"/>
      <c r="J22" s="331">
        <v>6</v>
      </c>
      <c r="K22" s="342"/>
      <c r="L22" s="343"/>
      <c r="M22" s="343"/>
      <c r="N22" s="442"/>
      <c r="O22" s="322"/>
      <c r="P22" s="323"/>
      <c r="Q22" s="542" t="s">
        <v>361</v>
      </c>
      <c r="R22" s="543" t="s">
        <v>362</v>
      </c>
      <c r="S22" s="315"/>
      <c r="T22" s="321"/>
      <c r="U22" s="321"/>
      <c r="Z22" s="324"/>
    </row>
    <row r="23" spans="1:37" s="319" customFormat="1" ht="19.149999999999999" customHeight="1">
      <c r="A23" s="433"/>
      <c r="B23" s="332"/>
      <c r="C23" s="328"/>
      <c r="D23" s="441"/>
      <c r="E23" s="329" t="s">
        <v>260</v>
      </c>
      <c r="F23" s="330">
        <v>661814875859</v>
      </c>
      <c r="G23" s="454"/>
      <c r="H23" s="454"/>
      <c r="I23" s="331"/>
      <c r="J23" s="331">
        <v>5</v>
      </c>
      <c r="K23" s="342"/>
      <c r="L23" s="343"/>
      <c r="M23" s="343"/>
      <c r="N23" s="442"/>
      <c r="O23" s="322"/>
      <c r="P23" s="323"/>
      <c r="Q23" s="542" t="s">
        <v>363</v>
      </c>
      <c r="R23" s="543" t="s">
        <v>364</v>
      </c>
      <c r="S23" s="315"/>
      <c r="T23" s="321"/>
      <c r="U23" s="321"/>
      <c r="Z23" s="324"/>
    </row>
    <row r="24" spans="1:37" s="319" customFormat="1" ht="19.149999999999999" customHeight="1">
      <c r="A24" s="433"/>
      <c r="B24" s="333"/>
      <c r="C24" s="328"/>
      <c r="D24" s="441"/>
      <c r="E24" s="329" t="s">
        <v>261</v>
      </c>
      <c r="F24" s="330">
        <v>661814875835</v>
      </c>
      <c r="G24" s="454"/>
      <c r="H24" s="454"/>
      <c r="I24" s="331"/>
      <c r="J24" s="331">
        <v>12</v>
      </c>
      <c r="K24" s="342"/>
      <c r="L24" s="343"/>
      <c r="M24" s="343"/>
      <c r="N24" s="442"/>
      <c r="O24" s="322"/>
      <c r="P24" s="323"/>
      <c r="Q24" s="542" t="s">
        <v>365</v>
      </c>
      <c r="R24" s="543" t="s">
        <v>366</v>
      </c>
      <c r="S24" s="315"/>
      <c r="T24" s="321"/>
      <c r="U24" s="321"/>
      <c r="Z24" s="324"/>
    </row>
    <row r="25" spans="1:37" s="319" customFormat="1" ht="19.149999999999999" customHeight="1">
      <c r="A25" s="433">
        <f>A21+I21</f>
        <v>2</v>
      </c>
      <c r="B25" s="332" t="s">
        <v>63</v>
      </c>
      <c r="C25" s="328">
        <f>+A25+I25-1</f>
        <v>2</v>
      </c>
      <c r="D25" s="441"/>
      <c r="E25" s="329" t="s">
        <v>262</v>
      </c>
      <c r="F25" s="330">
        <v>661814875972</v>
      </c>
      <c r="G25" s="454"/>
      <c r="H25" s="454"/>
      <c r="I25" s="331">
        <v>1</v>
      </c>
      <c r="J25" s="331">
        <v>9</v>
      </c>
      <c r="K25" s="342">
        <f>J25+J26+J27+J28</f>
        <v>16</v>
      </c>
      <c r="L25" s="343">
        <f>620*J25/1000+640*J26/1000+660*J27/1000+680*J28/1000</f>
        <v>10.14</v>
      </c>
      <c r="M25" s="343">
        <f>1.65+L25</f>
        <v>11.790000000000001</v>
      </c>
      <c r="N25" s="442" t="s">
        <v>263</v>
      </c>
      <c r="O25" s="322"/>
      <c r="P25" s="323"/>
      <c r="Q25" s="542" t="s">
        <v>351</v>
      </c>
      <c r="R25" s="543" t="s">
        <v>352</v>
      </c>
      <c r="S25" s="315"/>
      <c r="T25" s="321"/>
      <c r="U25" s="321"/>
      <c r="Z25" s="324"/>
    </row>
    <row r="26" spans="1:37" s="319" customFormat="1" ht="19.149999999999999" customHeight="1">
      <c r="A26" s="433"/>
      <c r="B26" s="332"/>
      <c r="C26" s="328"/>
      <c r="D26" s="441"/>
      <c r="E26" s="329" t="s">
        <v>264</v>
      </c>
      <c r="F26" s="330">
        <v>661814875958</v>
      </c>
      <c r="G26" s="454"/>
      <c r="H26" s="454"/>
      <c r="I26" s="331"/>
      <c r="J26" s="331">
        <v>4</v>
      </c>
      <c r="K26" s="342"/>
      <c r="L26" s="343"/>
      <c r="M26" s="343"/>
      <c r="N26" s="442"/>
      <c r="O26" s="322"/>
      <c r="P26" s="323"/>
      <c r="Q26" s="542" t="s">
        <v>353</v>
      </c>
      <c r="R26" s="543" t="s">
        <v>354</v>
      </c>
      <c r="S26" s="315"/>
      <c r="T26" s="321"/>
      <c r="U26" s="321"/>
      <c r="Z26" s="324"/>
    </row>
    <row r="27" spans="1:37" s="319" customFormat="1" ht="19.149999999999999" customHeight="1">
      <c r="A27" s="433"/>
      <c r="B27" s="332"/>
      <c r="C27" s="328"/>
      <c r="D27" s="441"/>
      <c r="E27" s="329" t="s">
        <v>265</v>
      </c>
      <c r="F27" s="330">
        <v>661814875934</v>
      </c>
      <c r="G27" s="454"/>
      <c r="H27" s="454"/>
      <c r="I27" s="331"/>
      <c r="J27" s="331">
        <v>2</v>
      </c>
      <c r="K27" s="342"/>
      <c r="L27" s="343"/>
      <c r="M27" s="343"/>
      <c r="N27" s="442"/>
      <c r="O27" s="322"/>
      <c r="P27" s="323"/>
      <c r="Q27" s="542" t="s">
        <v>355</v>
      </c>
      <c r="R27" s="543" t="s">
        <v>356</v>
      </c>
      <c r="S27" s="315"/>
      <c r="T27" s="321"/>
      <c r="U27" s="321"/>
      <c r="Z27" s="324"/>
    </row>
    <row r="28" spans="1:37" s="319" customFormat="1" ht="19.149999999999999" customHeight="1">
      <c r="A28" s="433"/>
      <c r="B28" s="333"/>
      <c r="C28" s="328"/>
      <c r="D28" s="441"/>
      <c r="E28" s="329" t="s">
        <v>266</v>
      </c>
      <c r="F28" s="330">
        <v>661814875910</v>
      </c>
      <c r="G28" s="454"/>
      <c r="H28" s="454"/>
      <c r="I28" s="331"/>
      <c r="J28" s="331">
        <v>1</v>
      </c>
      <c r="K28" s="342"/>
      <c r="L28" s="343"/>
      <c r="M28" s="343"/>
      <c r="N28" s="442"/>
      <c r="O28" s="322"/>
      <c r="P28" s="323"/>
      <c r="Q28" s="542" t="s">
        <v>357</v>
      </c>
      <c r="R28" s="543" t="s">
        <v>358</v>
      </c>
      <c r="S28" s="315"/>
      <c r="T28" s="321"/>
      <c r="U28" s="321"/>
      <c r="Z28" s="324"/>
    </row>
    <row r="29" spans="1:37" s="319" customFormat="1" ht="19.149999999999999" customHeight="1">
      <c r="A29" s="433">
        <f>A25+I25</f>
        <v>3</v>
      </c>
      <c r="B29" s="332" t="s">
        <v>63</v>
      </c>
      <c r="C29" s="328">
        <f>+A29+I29-1</f>
        <v>3</v>
      </c>
      <c r="D29" s="441"/>
      <c r="E29" s="329" t="s">
        <v>267</v>
      </c>
      <c r="F29" s="330">
        <v>661814876030</v>
      </c>
      <c r="G29" s="454"/>
      <c r="H29" s="454" t="str">
        <f>+'INV-PO04774'!E29</f>
        <v>Meteorite Black</v>
      </c>
      <c r="I29" s="331">
        <v>1</v>
      </c>
      <c r="J29" s="331">
        <v>2</v>
      </c>
      <c r="K29" s="342">
        <f>J29+J30+J31+J32</f>
        <v>30</v>
      </c>
      <c r="L29" s="343">
        <f>540*J29/1000+560*J30/1000+580*J31/1000+600*J32/1000</f>
        <v>17.46</v>
      </c>
      <c r="M29" s="343">
        <f>1.65+L29</f>
        <v>19.11</v>
      </c>
      <c r="N29" s="538" t="s">
        <v>258</v>
      </c>
      <c r="O29" s="322"/>
      <c r="P29" s="323"/>
      <c r="Q29" s="542" t="s">
        <v>371</v>
      </c>
      <c r="R29" s="543" t="s">
        <v>360</v>
      </c>
      <c r="S29" s="315"/>
      <c r="T29" s="321"/>
      <c r="U29" s="321"/>
      <c r="Z29" s="324"/>
    </row>
    <row r="30" spans="1:37" s="319" customFormat="1" ht="19.149999999999999" customHeight="1">
      <c r="A30" s="433"/>
      <c r="B30" s="332"/>
      <c r="C30" s="328"/>
      <c r="D30" s="441"/>
      <c r="E30" s="329" t="s">
        <v>268</v>
      </c>
      <c r="F30" s="330">
        <v>661814876016</v>
      </c>
      <c r="G30" s="454"/>
      <c r="H30" s="454"/>
      <c r="I30" s="331"/>
      <c r="J30" s="331">
        <v>8</v>
      </c>
      <c r="K30" s="342"/>
      <c r="L30" s="343"/>
      <c r="M30" s="343"/>
      <c r="N30" s="442"/>
      <c r="O30" s="322"/>
      <c r="P30" s="323"/>
      <c r="Q30" s="542" t="s">
        <v>372</v>
      </c>
      <c r="R30" s="543" t="s">
        <v>362</v>
      </c>
      <c r="S30" s="315"/>
      <c r="T30" s="321"/>
      <c r="U30" s="321"/>
      <c r="Z30" s="324"/>
    </row>
    <row r="31" spans="1:37" s="319" customFormat="1" ht="19.149999999999999" customHeight="1">
      <c r="A31" s="433"/>
      <c r="B31" s="332"/>
      <c r="C31" s="328"/>
      <c r="D31" s="441"/>
      <c r="E31" s="329" t="s">
        <v>269</v>
      </c>
      <c r="F31" s="330">
        <v>661814875996</v>
      </c>
      <c r="G31" s="454"/>
      <c r="H31" s="454"/>
      <c r="I31" s="331"/>
      <c r="J31" s="331">
        <v>5</v>
      </c>
      <c r="K31" s="342"/>
      <c r="L31" s="343"/>
      <c r="M31" s="343"/>
      <c r="N31" s="442"/>
      <c r="O31" s="322"/>
      <c r="P31" s="323"/>
      <c r="Q31" s="542" t="s">
        <v>373</v>
      </c>
      <c r="R31" s="543" t="s">
        <v>364</v>
      </c>
      <c r="S31" s="315"/>
      <c r="T31" s="321"/>
      <c r="U31" s="321"/>
      <c r="Z31" s="324"/>
    </row>
    <row r="32" spans="1:37" s="319" customFormat="1" ht="19.149999999999999" customHeight="1">
      <c r="A32" s="433"/>
      <c r="B32" s="333"/>
      <c r="C32" s="328"/>
      <c r="D32" s="441"/>
      <c r="E32" s="329" t="s">
        <v>270</v>
      </c>
      <c r="F32" s="330">
        <v>661814876054</v>
      </c>
      <c r="G32" s="454"/>
      <c r="H32" s="454"/>
      <c r="I32" s="331"/>
      <c r="J32" s="331">
        <v>15</v>
      </c>
      <c r="K32" s="342"/>
      <c r="L32" s="343"/>
      <c r="M32" s="343"/>
      <c r="N32" s="442"/>
      <c r="O32" s="322"/>
      <c r="P32" s="323"/>
      <c r="Q32" s="542" t="s">
        <v>374</v>
      </c>
      <c r="R32" s="543" t="s">
        <v>366</v>
      </c>
      <c r="S32" s="315"/>
      <c r="T32" s="321"/>
      <c r="U32" s="321"/>
      <c r="Z32" s="324"/>
    </row>
    <row r="33" spans="1:26" s="319" customFormat="1" ht="19.149999999999999" customHeight="1">
      <c r="A33" s="433">
        <f>A29+I29</f>
        <v>4</v>
      </c>
      <c r="B33" s="332" t="s">
        <v>63</v>
      </c>
      <c r="C33" s="328">
        <f>+A33+I33-1</f>
        <v>4</v>
      </c>
      <c r="D33" s="441"/>
      <c r="E33" s="329" t="s">
        <v>271</v>
      </c>
      <c r="F33" s="330">
        <v>661814876139</v>
      </c>
      <c r="G33" s="454"/>
      <c r="H33" s="454"/>
      <c r="I33" s="331">
        <v>1</v>
      </c>
      <c r="J33" s="331">
        <v>10</v>
      </c>
      <c r="K33" s="342">
        <f>J33+J34+J35+J36</f>
        <v>19</v>
      </c>
      <c r="L33" s="343">
        <f>620*J33/1000+640*J34/1000+660*J35/1000+680*J36/1000</f>
        <v>12.1</v>
      </c>
      <c r="M33" s="343">
        <f>1.65+L33</f>
        <v>13.75</v>
      </c>
      <c r="N33" s="442" t="s">
        <v>263</v>
      </c>
      <c r="O33" s="322"/>
      <c r="P33" s="323"/>
      <c r="Q33" s="319" t="s">
        <v>367</v>
      </c>
      <c r="R33" s="319" t="s">
        <v>352</v>
      </c>
      <c r="S33" s="315"/>
      <c r="T33" s="321"/>
      <c r="U33" s="321"/>
      <c r="Z33" s="324"/>
    </row>
    <row r="34" spans="1:26" s="319" customFormat="1" ht="19.149999999999999" customHeight="1">
      <c r="A34" s="433"/>
      <c r="B34" s="332"/>
      <c r="C34" s="328"/>
      <c r="D34" s="441"/>
      <c r="E34" s="329" t="s">
        <v>272</v>
      </c>
      <c r="F34" s="330">
        <v>661814876115</v>
      </c>
      <c r="G34" s="454"/>
      <c r="H34" s="454"/>
      <c r="I34" s="331"/>
      <c r="J34" s="331">
        <v>4</v>
      </c>
      <c r="K34" s="342"/>
      <c r="L34" s="343"/>
      <c r="M34" s="343"/>
      <c r="N34" s="442"/>
      <c r="O34" s="322"/>
      <c r="P34" s="323"/>
      <c r="Q34" s="319" t="s">
        <v>368</v>
      </c>
      <c r="R34" s="319" t="s">
        <v>354</v>
      </c>
      <c r="S34" s="315"/>
      <c r="T34" s="321"/>
      <c r="U34" s="321"/>
      <c r="Z34" s="324"/>
    </row>
    <row r="35" spans="1:26" s="319" customFormat="1" ht="19.149999999999999" customHeight="1">
      <c r="A35" s="433"/>
      <c r="B35" s="332"/>
      <c r="C35" s="328"/>
      <c r="D35" s="441"/>
      <c r="E35" s="329" t="s">
        <v>273</v>
      </c>
      <c r="F35" s="330">
        <v>661814876092</v>
      </c>
      <c r="G35" s="454"/>
      <c r="H35" s="454"/>
      <c r="I35" s="331"/>
      <c r="J35" s="331">
        <v>3</v>
      </c>
      <c r="K35" s="342"/>
      <c r="L35" s="343"/>
      <c r="M35" s="343"/>
      <c r="N35" s="442"/>
      <c r="O35" s="322"/>
      <c r="P35" s="323"/>
      <c r="Q35" s="542" t="s">
        <v>369</v>
      </c>
      <c r="R35" s="543" t="s">
        <v>356</v>
      </c>
      <c r="S35" s="315"/>
      <c r="T35" s="321"/>
      <c r="U35" s="321"/>
      <c r="Z35" s="324"/>
    </row>
    <row r="36" spans="1:26" s="319" customFormat="1" ht="19.149999999999999" customHeight="1" thickBot="1">
      <c r="A36" s="476"/>
      <c r="B36" s="477"/>
      <c r="C36" s="478"/>
      <c r="D36" s="479"/>
      <c r="E36" s="480" t="s">
        <v>274</v>
      </c>
      <c r="F36" s="547" t="str">
        <f>Q36</f>
        <v>661814876078</v>
      </c>
      <c r="G36" s="481"/>
      <c r="H36" s="481"/>
      <c r="I36" s="482"/>
      <c r="J36" s="482">
        <v>2</v>
      </c>
      <c r="K36" s="482"/>
      <c r="L36" s="483"/>
      <c r="M36" s="483"/>
      <c r="N36" s="484"/>
      <c r="O36" s="322">
        <v>4</v>
      </c>
      <c r="P36" s="323">
        <v>288</v>
      </c>
      <c r="Q36" s="542" t="s">
        <v>370</v>
      </c>
      <c r="R36" s="543" t="s">
        <v>358</v>
      </c>
      <c r="S36" s="315"/>
      <c r="T36" s="321"/>
      <c r="U36" s="321"/>
      <c r="Z36" s="324"/>
    </row>
    <row r="37" spans="1:26" s="319" customFormat="1" ht="19.149999999999999" customHeight="1">
      <c r="A37" s="470">
        <v>1</v>
      </c>
      <c r="B37" s="334" t="s">
        <v>63</v>
      </c>
      <c r="C37" s="471">
        <f>+A37+I37-1</f>
        <v>1</v>
      </c>
      <c r="D37" s="472" t="str">
        <f>K6</f>
        <v>PO04774</v>
      </c>
      <c r="E37" s="473" t="s">
        <v>275</v>
      </c>
      <c r="F37" s="474">
        <v>661814885612</v>
      </c>
      <c r="G37" s="475" t="str">
        <f>+'INV-PO04774'!D30</f>
        <v>M Clark Pant</v>
      </c>
      <c r="H37" s="475" t="str">
        <f>+'INV-PO04774'!E30</f>
        <v>Ashwood</v>
      </c>
      <c r="I37" s="443">
        <v>1</v>
      </c>
      <c r="J37" s="443">
        <v>4</v>
      </c>
      <c r="K37" s="444">
        <f>J37+J38+J39+J40</f>
        <v>29</v>
      </c>
      <c r="L37" s="445">
        <f>540*J37/1000+560*J38/1000+580*J39/1000+600*J40/1000</f>
        <v>16.740000000000002</v>
      </c>
      <c r="M37" s="445">
        <f>1.65+L37</f>
        <v>18.39</v>
      </c>
      <c r="N37" s="540" t="s">
        <v>258</v>
      </c>
      <c r="O37" s="322">
        <v>2</v>
      </c>
      <c r="P37" s="323">
        <v>285</v>
      </c>
      <c r="Q37" s="319" t="s">
        <v>375</v>
      </c>
      <c r="R37" s="319" t="s">
        <v>376</v>
      </c>
      <c r="S37" s="315"/>
      <c r="T37" s="321"/>
      <c r="U37" s="321"/>
      <c r="Z37" s="324"/>
    </row>
    <row r="38" spans="1:26" s="319" customFormat="1" ht="19.149999999999999" customHeight="1">
      <c r="A38" s="433"/>
      <c r="B38" s="326"/>
      <c r="C38" s="328"/>
      <c r="D38" s="441"/>
      <c r="E38" s="335" t="s">
        <v>276</v>
      </c>
      <c r="F38" s="336">
        <v>661814885599</v>
      </c>
      <c r="G38" s="455"/>
      <c r="H38" s="455"/>
      <c r="I38" s="331"/>
      <c r="J38" s="331">
        <v>8</v>
      </c>
      <c r="K38" s="342"/>
      <c r="L38" s="343"/>
      <c r="M38" s="343"/>
      <c r="N38" s="442"/>
      <c r="O38" s="322"/>
      <c r="P38" s="323"/>
      <c r="Q38" s="319" t="s">
        <v>377</v>
      </c>
      <c r="R38" s="319" t="s">
        <v>378</v>
      </c>
      <c r="S38" s="315"/>
      <c r="T38" s="321"/>
      <c r="U38" s="321"/>
      <c r="Z38" s="324"/>
    </row>
    <row r="39" spans="1:26" s="319" customFormat="1" ht="19.149999999999999" customHeight="1">
      <c r="A39" s="433"/>
      <c r="B39" s="326"/>
      <c r="C39" s="328"/>
      <c r="D39" s="441"/>
      <c r="E39" s="335" t="s">
        <v>277</v>
      </c>
      <c r="F39" s="336">
        <v>661814885575</v>
      </c>
      <c r="G39" s="455"/>
      <c r="H39" s="455"/>
      <c r="I39" s="331"/>
      <c r="J39" s="331">
        <v>5</v>
      </c>
      <c r="K39" s="342"/>
      <c r="L39" s="343"/>
      <c r="M39" s="343"/>
      <c r="N39" s="442"/>
      <c r="O39" s="322"/>
      <c r="P39" s="323"/>
      <c r="Q39" s="319" t="s">
        <v>379</v>
      </c>
      <c r="R39" s="319" t="s">
        <v>380</v>
      </c>
      <c r="S39" s="315"/>
      <c r="T39" s="321"/>
      <c r="U39" s="321"/>
      <c r="Z39" s="324"/>
    </row>
    <row r="40" spans="1:26" s="319" customFormat="1" ht="19.149999999999999" customHeight="1">
      <c r="A40" s="433"/>
      <c r="B40" s="326"/>
      <c r="C40" s="328"/>
      <c r="D40" s="441"/>
      <c r="E40" s="335" t="s">
        <v>278</v>
      </c>
      <c r="F40" s="336">
        <v>661814885551</v>
      </c>
      <c r="G40" s="455"/>
      <c r="H40" s="455"/>
      <c r="I40" s="331"/>
      <c r="J40" s="331">
        <v>12</v>
      </c>
      <c r="K40" s="342"/>
      <c r="L40" s="343"/>
      <c r="M40" s="343"/>
      <c r="N40" s="442"/>
      <c r="O40" s="322"/>
      <c r="P40" s="323"/>
      <c r="Q40" s="319" t="s">
        <v>381</v>
      </c>
      <c r="R40" s="319" t="s">
        <v>382</v>
      </c>
      <c r="S40" s="315"/>
      <c r="T40" s="321"/>
      <c r="U40" s="321"/>
      <c r="Z40" s="324"/>
    </row>
    <row r="41" spans="1:26" s="319" customFormat="1" ht="19.149999999999999" customHeight="1">
      <c r="A41" s="433">
        <f>A37+I37</f>
        <v>2</v>
      </c>
      <c r="B41" s="326" t="s">
        <v>63</v>
      </c>
      <c r="C41" s="328">
        <f>+A41+I41-1</f>
        <v>2</v>
      </c>
      <c r="D41" s="441"/>
      <c r="E41" s="335" t="s">
        <v>279</v>
      </c>
      <c r="F41" s="336">
        <v>661814885537</v>
      </c>
      <c r="G41" s="455"/>
      <c r="H41" s="455"/>
      <c r="I41" s="331">
        <v>1</v>
      </c>
      <c r="J41" s="331">
        <v>10</v>
      </c>
      <c r="K41" s="342">
        <f>J41+J42+J43+J44</f>
        <v>21</v>
      </c>
      <c r="L41" s="343">
        <f>620*J41/1000+640*J42/1000+660*J43/1000+680*J44/1000</f>
        <v>13.540000000000001</v>
      </c>
      <c r="M41" s="343">
        <f>1.65+L41</f>
        <v>15.190000000000001</v>
      </c>
      <c r="N41" s="538" t="s">
        <v>258</v>
      </c>
      <c r="O41" s="322"/>
      <c r="P41" s="323"/>
      <c r="Q41" s="542" t="s">
        <v>383</v>
      </c>
      <c r="R41" s="543" t="s">
        <v>384</v>
      </c>
      <c r="S41" s="315"/>
      <c r="T41" s="321"/>
      <c r="U41" s="321"/>
      <c r="Z41" s="324"/>
    </row>
    <row r="42" spans="1:26" s="319" customFormat="1" ht="19.149999999999999" customHeight="1">
      <c r="A42" s="433"/>
      <c r="B42" s="326"/>
      <c r="C42" s="328"/>
      <c r="D42" s="441"/>
      <c r="E42" s="335" t="s">
        <v>280</v>
      </c>
      <c r="F42" s="336">
        <v>661814885513</v>
      </c>
      <c r="G42" s="455"/>
      <c r="H42" s="455"/>
      <c r="I42" s="331"/>
      <c r="J42" s="331">
        <v>2</v>
      </c>
      <c r="K42" s="342"/>
      <c r="L42" s="343"/>
      <c r="M42" s="343"/>
      <c r="N42" s="442"/>
      <c r="O42" s="322"/>
      <c r="P42" s="323"/>
      <c r="Q42" s="542" t="s">
        <v>385</v>
      </c>
      <c r="R42" s="543" t="s">
        <v>386</v>
      </c>
      <c r="S42" s="315"/>
      <c r="T42" s="321"/>
      <c r="U42" s="321"/>
      <c r="Z42" s="324"/>
    </row>
    <row r="43" spans="1:26" s="319" customFormat="1" ht="19.149999999999999" customHeight="1">
      <c r="A43" s="433"/>
      <c r="B43" s="326"/>
      <c r="C43" s="328"/>
      <c r="D43" s="441"/>
      <c r="E43" s="335" t="s">
        <v>281</v>
      </c>
      <c r="F43" s="336">
        <v>661814885490</v>
      </c>
      <c r="G43" s="455"/>
      <c r="H43" s="455"/>
      <c r="I43" s="331"/>
      <c r="J43" s="331">
        <v>3</v>
      </c>
      <c r="K43" s="342"/>
      <c r="L43" s="343"/>
      <c r="M43" s="343"/>
      <c r="N43" s="442"/>
      <c r="O43" s="322"/>
      <c r="P43" s="323"/>
      <c r="Q43" s="542" t="s">
        <v>387</v>
      </c>
      <c r="R43" s="543" t="s">
        <v>388</v>
      </c>
      <c r="S43" s="315"/>
      <c r="T43" s="321"/>
      <c r="U43" s="321"/>
      <c r="Z43" s="324"/>
    </row>
    <row r="44" spans="1:26" s="319" customFormat="1" ht="19.149999999999999" customHeight="1">
      <c r="A44" s="433"/>
      <c r="B44" s="326"/>
      <c r="C44" s="328"/>
      <c r="D44" s="441"/>
      <c r="E44" s="335" t="s">
        <v>282</v>
      </c>
      <c r="F44" s="548" t="str">
        <f>Q44</f>
        <v>661814885476</v>
      </c>
      <c r="G44" s="455"/>
      <c r="H44" s="455"/>
      <c r="I44" s="331"/>
      <c r="J44" s="331">
        <v>6</v>
      </c>
      <c r="K44" s="342"/>
      <c r="L44" s="343"/>
      <c r="M44" s="343"/>
      <c r="N44" s="442"/>
      <c r="O44" s="322"/>
      <c r="P44" s="323"/>
      <c r="Q44" s="542" t="s">
        <v>389</v>
      </c>
      <c r="R44" s="543" t="s">
        <v>390</v>
      </c>
      <c r="S44" s="315"/>
      <c r="T44" s="321"/>
      <c r="U44" s="321"/>
      <c r="Z44" s="324"/>
    </row>
    <row r="45" spans="1:26" s="319" customFormat="1" ht="19.149999999999999" customHeight="1">
      <c r="A45" s="433">
        <f>A41+I41</f>
        <v>3</v>
      </c>
      <c r="B45" s="326" t="s">
        <v>63</v>
      </c>
      <c r="C45" s="328">
        <f>+A45+I45-1</f>
        <v>3</v>
      </c>
      <c r="D45" s="441"/>
      <c r="E45" s="335" t="s">
        <v>283</v>
      </c>
      <c r="F45" s="336">
        <v>661814885773</v>
      </c>
      <c r="G45" s="455"/>
      <c r="H45" s="455" t="str">
        <f>+'INV-PO04774'!E31</f>
        <v>Meteorite Black</v>
      </c>
      <c r="I45" s="331">
        <v>1</v>
      </c>
      <c r="J45" s="331">
        <v>3</v>
      </c>
      <c r="K45" s="342">
        <f>J45+J46+J47+J48</f>
        <v>26</v>
      </c>
      <c r="L45" s="343">
        <f>540*J45/1000+560*J46/1000+580*J47/1000+600*J48/1000</f>
        <v>15.040000000000001</v>
      </c>
      <c r="M45" s="343">
        <f>1.65+L45</f>
        <v>16.690000000000001</v>
      </c>
      <c r="N45" s="538" t="s">
        <v>258</v>
      </c>
      <c r="O45" s="322"/>
      <c r="P45" s="323"/>
      <c r="Q45" s="542" t="s">
        <v>391</v>
      </c>
      <c r="R45" s="543" t="s">
        <v>376</v>
      </c>
      <c r="S45" s="315"/>
      <c r="T45" s="321"/>
      <c r="U45" s="321"/>
      <c r="Z45" s="324"/>
    </row>
    <row r="46" spans="1:26" s="319" customFormat="1" ht="19.149999999999999" customHeight="1">
      <c r="A46" s="433"/>
      <c r="B46" s="326"/>
      <c r="C46" s="328"/>
      <c r="D46" s="441"/>
      <c r="E46" s="335" t="s">
        <v>284</v>
      </c>
      <c r="F46" s="336">
        <v>661814885759</v>
      </c>
      <c r="G46" s="455"/>
      <c r="H46" s="455"/>
      <c r="I46" s="331"/>
      <c r="J46" s="331">
        <v>8</v>
      </c>
      <c r="K46" s="342"/>
      <c r="L46" s="343"/>
      <c r="M46" s="343"/>
      <c r="N46" s="442"/>
      <c r="O46" s="322"/>
      <c r="P46" s="323"/>
      <c r="Q46" s="542" t="s">
        <v>392</v>
      </c>
      <c r="R46" s="543" t="s">
        <v>378</v>
      </c>
      <c r="S46" s="315"/>
      <c r="T46" s="321"/>
      <c r="U46" s="321"/>
      <c r="Z46" s="324"/>
    </row>
    <row r="47" spans="1:26" s="319" customFormat="1" ht="19.149999999999999" customHeight="1">
      <c r="A47" s="433"/>
      <c r="B47" s="326"/>
      <c r="C47" s="328"/>
      <c r="D47" s="441"/>
      <c r="E47" s="335" t="s">
        <v>285</v>
      </c>
      <c r="F47" s="336">
        <v>661814885735</v>
      </c>
      <c r="G47" s="455"/>
      <c r="H47" s="455"/>
      <c r="I47" s="331"/>
      <c r="J47" s="331">
        <v>3</v>
      </c>
      <c r="K47" s="342"/>
      <c r="L47" s="343"/>
      <c r="M47" s="343"/>
      <c r="N47" s="442"/>
      <c r="O47" s="322"/>
      <c r="P47" s="323"/>
      <c r="Q47" s="542" t="s">
        <v>393</v>
      </c>
      <c r="R47" s="543" t="s">
        <v>380</v>
      </c>
      <c r="S47" s="315"/>
      <c r="T47" s="321"/>
      <c r="U47" s="321"/>
      <c r="Z47" s="324"/>
    </row>
    <row r="48" spans="1:26" s="319" customFormat="1" ht="19.149999999999999" customHeight="1">
      <c r="A48" s="433"/>
      <c r="B48" s="326"/>
      <c r="C48" s="328"/>
      <c r="D48" s="441"/>
      <c r="E48" s="335" t="s">
        <v>286</v>
      </c>
      <c r="F48" s="336">
        <v>661814885711</v>
      </c>
      <c r="G48" s="455"/>
      <c r="H48" s="455"/>
      <c r="I48" s="331"/>
      <c r="J48" s="331">
        <v>12</v>
      </c>
      <c r="K48" s="342"/>
      <c r="L48" s="343"/>
      <c r="M48" s="343"/>
      <c r="N48" s="442"/>
      <c r="O48" s="322"/>
      <c r="P48" s="323"/>
      <c r="Q48" s="542" t="s">
        <v>394</v>
      </c>
      <c r="R48" s="543" t="s">
        <v>382</v>
      </c>
      <c r="S48" s="315"/>
      <c r="T48" s="321"/>
      <c r="U48" s="321"/>
      <c r="Z48" s="324"/>
    </row>
    <row r="49" spans="1:26" s="319" customFormat="1" ht="19.149999999999999" customHeight="1">
      <c r="A49" s="433">
        <f>A45+I45</f>
        <v>4</v>
      </c>
      <c r="B49" s="326" t="s">
        <v>63</v>
      </c>
      <c r="C49" s="328">
        <f>+A49+I49-1</f>
        <v>4</v>
      </c>
      <c r="D49" s="441"/>
      <c r="E49" s="335" t="s">
        <v>287</v>
      </c>
      <c r="F49" s="336">
        <v>661814885698</v>
      </c>
      <c r="G49" s="455"/>
      <c r="H49" s="455"/>
      <c r="I49" s="331">
        <v>1</v>
      </c>
      <c r="J49" s="331">
        <v>8</v>
      </c>
      <c r="K49" s="342">
        <f>J49+J50+J51+J52</f>
        <v>16</v>
      </c>
      <c r="L49" s="343">
        <f>620*J49/1000+640*J50/1000+660*J51/1000+680*J52/1000</f>
        <v>10.219999999999999</v>
      </c>
      <c r="M49" s="343">
        <f>1.65+L49</f>
        <v>11.87</v>
      </c>
      <c r="N49" s="442" t="s">
        <v>263</v>
      </c>
      <c r="O49" s="322"/>
      <c r="P49" s="323"/>
      <c r="Q49" s="542" t="s">
        <v>395</v>
      </c>
      <c r="R49" s="543" t="s">
        <v>384</v>
      </c>
      <c r="S49" s="315"/>
      <c r="T49" s="321"/>
      <c r="U49" s="321"/>
      <c r="Z49" s="324"/>
    </row>
    <row r="50" spans="1:26" s="319" customFormat="1" ht="19.149999999999999" customHeight="1">
      <c r="A50" s="433"/>
      <c r="B50" s="326"/>
      <c r="C50" s="328"/>
      <c r="D50" s="441"/>
      <c r="E50" s="335" t="s">
        <v>288</v>
      </c>
      <c r="F50" s="336">
        <v>661814885674</v>
      </c>
      <c r="G50" s="455"/>
      <c r="H50" s="455"/>
      <c r="I50" s="331"/>
      <c r="J50" s="331">
        <v>3</v>
      </c>
      <c r="K50" s="342"/>
      <c r="L50" s="343"/>
      <c r="M50" s="343"/>
      <c r="N50" s="442"/>
      <c r="O50" s="322"/>
      <c r="P50" s="323"/>
      <c r="Q50" s="542" t="s">
        <v>396</v>
      </c>
      <c r="R50" s="543" t="s">
        <v>386</v>
      </c>
      <c r="S50" s="315"/>
      <c r="T50" s="321"/>
      <c r="U50" s="321"/>
      <c r="Z50" s="324"/>
    </row>
    <row r="51" spans="1:26" s="319" customFormat="1" ht="19.149999999999999" customHeight="1">
      <c r="A51" s="433"/>
      <c r="B51" s="326"/>
      <c r="C51" s="328"/>
      <c r="D51" s="441"/>
      <c r="E51" s="335" t="s">
        <v>289</v>
      </c>
      <c r="F51" s="336">
        <v>661814885650</v>
      </c>
      <c r="G51" s="455"/>
      <c r="H51" s="455"/>
      <c r="I51" s="331"/>
      <c r="J51" s="331">
        <v>3</v>
      </c>
      <c r="K51" s="342"/>
      <c r="L51" s="343"/>
      <c r="M51" s="343"/>
      <c r="N51" s="442"/>
      <c r="O51" s="322"/>
      <c r="P51" s="323"/>
      <c r="Q51" s="542" t="s">
        <v>397</v>
      </c>
      <c r="R51" s="543" t="s">
        <v>388</v>
      </c>
      <c r="S51" s="315"/>
      <c r="T51" s="321"/>
      <c r="U51" s="321"/>
      <c r="Z51" s="324"/>
    </row>
    <row r="52" spans="1:26" s="319" customFormat="1" ht="19.149999999999999" customHeight="1" thickBot="1">
      <c r="A52" s="476"/>
      <c r="B52" s="488"/>
      <c r="C52" s="478"/>
      <c r="D52" s="479"/>
      <c r="E52" s="489" t="s">
        <v>290</v>
      </c>
      <c r="F52" s="490">
        <v>661814885636</v>
      </c>
      <c r="G52" s="491"/>
      <c r="H52" s="491"/>
      <c r="I52" s="482"/>
      <c r="J52" s="482">
        <v>2</v>
      </c>
      <c r="K52" s="482"/>
      <c r="L52" s="483"/>
      <c r="M52" s="483"/>
      <c r="N52" s="484"/>
      <c r="O52" s="322">
        <v>4</v>
      </c>
      <c r="P52" s="323">
        <v>288</v>
      </c>
      <c r="Q52" s="542" t="s">
        <v>398</v>
      </c>
      <c r="R52" s="543" t="s">
        <v>390</v>
      </c>
      <c r="S52" s="315"/>
      <c r="T52" s="321"/>
      <c r="U52" s="321"/>
      <c r="Z52" s="324"/>
    </row>
    <row r="53" spans="1:26" s="319" customFormat="1" ht="19.149999999999999" customHeight="1">
      <c r="A53" s="470">
        <v>1</v>
      </c>
      <c r="B53" s="334" t="s">
        <v>63</v>
      </c>
      <c r="C53" s="471">
        <f>+A53+I53-1</f>
        <v>1</v>
      </c>
      <c r="D53" s="472" t="str">
        <f>K6</f>
        <v>PO04774</v>
      </c>
      <c r="E53" s="485" t="s">
        <v>291</v>
      </c>
      <c r="F53" s="486">
        <v>661814877211</v>
      </c>
      <c r="G53" s="487" t="str">
        <f>+'INV-PO04774'!D32</f>
        <v>W Breton Pant</v>
      </c>
      <c r="H53" s="487" t="str">
        <f>+'INV-PO04774'!E32</f>
        <v>Ashwood</v>
      </c>
      <c r="I53" s="443">
        <v>1</v>
      </c>
      <c r="J53" s="443">
        <v>3</v>
      </c>
      <c r="K53" s="444">
        <f>J53+J54+J55+J56</f>
        <v>46</v>
      </c>
      <c r="L53" s="445">
        <f>340*J53/1000+350*J54/1000+360*J55/1000+370*J56/1000</f>
        <v>16.61</v>
      </c>
      <c r="M53" s="445">
        <f>1.65+L53</f>
        <v>18.259999999999998</v>
      </c>
      <c r="N53" s="540" t="s">
        <v>258</v>
      </c>
      <c r="O53" s="322">
        <v>2</v>
      </c>
      <c r="P53" s="323">
        <v>285</v>
      </c>
      <c r="Q53" s="542" t="s">
        <v>403</v>
      </c>
      <c r="R53" s="543" t="s">
        <v>360</v>
      </c>
      <c r="S53" s="315"/>
      <c r="T53" s="321"/>
      <c r="U53" s="321"/>
      <c r="Z53" s="324"/>
    </row>
    <row r="54" spans="1:26" s="319" customFormat="1" ht="19.149999999999999" customHeight="1">
      <c r="A54" s="433"/>
      <c r="B54" s="326"/>
      <c r="C54" s="328"/>
      <c r="D54" s="441"/>
      <c r="E54" s="408" t="s">
        <v>292</v>
      </c>
      <c r="F54" s="409">
        <v>661814877198</v>
      </c>
      <c r="G54" s="457"/>
      <c r="H54" s="457"/>
      <c r="I54" s="331"/>
      <c r="J54" s="331">
        <v>11</v>
      </c>
      <c r="K54" s="342"/>
      <c r="L54" s="343"/>
      <c r="M54" s="343"/>
      <c r="N54" s="442"/>
      <c r="O54" s="322"/>
      <c r="P54" s="323"/>
      <c r="Q54" s="542" t="s">
        <v>404</v>
      </c>
      <c r="R54" s="543" t="s">
        <v>362</v>
      </c>
      <c r="S54" s="315"/>
      <c r="T54" s="321"/>
      <c r="U54" s="321"/>
      <c r="Z54" s="324"/>
    </row>
    <row r="55" spans="1:26" s="319" customFormat="1" ht="19.149999999999999" customHeight="1">
      <c r="A55" s="433"/>
      <c r="B55" s="326"/>
      <c r="C55" s="328"/>
      <c r="D55" s="441"/>
      <c r="E55" s="408" t="s">
        <v>293</v>
      </c>
      <c r="F55" s="409">
        <v>661814876177</v>
      </c>
      <c r="G55" s="457"/>
      <c r="H55" s="457"/>
      <c r="I55" s="331"/>
      <c r="J55" s="331">
        <v>10</v>
      </c>
      <c r="K55" s="342"/>
      <c r="L55" s="343"/>
      <c r="M55" s="343"/>
      <c r="N55" s="442"/>
      <c r="O55" s="322"/>
      <c r="P55" s="323"/>
      <c r="Q55" s="542" t="s">
        <v>405</v>
      </c>
      <c r="R55" s="543" t="s">
        <v>364</v>
      </c>
      <c r="S55" s="315"/>
      <c r="T55" s="321"/>
      <c r="U55" s="321"/>
      <c r="Z55" s="324"/>
    </row>
    <row r="56" spans="1:26" s="319" customFormat="1" ht="19.149999999999999" customHeight="1">
      <c r="A56" s="433"/>
      <c r="B56" s="326"/>
      <c r="C56" s="328"/>
      <c r="D56" s="441"/>
      <c r="E56" s="408" t="s">
        <v>294</v>
      </c>
      <c r="F56" s="409">
        <v>661814876153</v>
      </c>
      <c r="G56" s="457"/>
      <c r="H56" s="457"/>
      <c r="I56" s="331"/>
      <c r="J56" s="331">
        <v>22</v>
      </c>
      <c r="K56" s="342"/>
      <c r="L56" s="343"/>
      <c r="M56" s="343"/>
      <c r="N56" s="442"/>
      <c r="O56" s="322"/>
      <c r="P56" s="323"/>
      <c r="Q56" s="542" t="s">
        <v>406</v>
      </c>
      <c r="R56" s="543" t="s">
        <v>366</v>
      </c>
      <c r="S56" s="315"/>
      <c r="T56" s="321"/>
      <c r="U56" s="321"/>
      <c r="Z56" s="324"/>
    </row>
    <row r="57" spans="1:26" s="319" customFormat="1" ht="19.149999999999999" customHeight="1">
      <c r="A57" s="433">
        <f>A53+I53</f>
        <v>2</v>
      </c>
      <c r="B57" s="326" t="s">
        <v>63</v>
      </c>
      <c r="C57" s="328">
        <f>A57+I53-1</f>
        <v>2</v>
      </c>
      <c r="D57" s="441"/>
      <c r="E57" s="408" t="s">
        <v>295</v>
      </c>
      <c r="F57" s="409">
        <v>661814877297</v>
      </c>
      <c r="G57" s="457"/>
      <c r="H57" s="457"/>
      <c r="I57" s="331">
        <v>1</v>
      </c>
      <c r="J57" s="331">
        <v>17</v>
      </c>
      <c r="K57" s="342">
        <f>J57+J58+J59+J60</f>
        <v>33</v>
      </c>
      <c r="L57" s="343">
        <f>380*J57/1000+390*J58/1000+400*J59/1000+410*J60/1000</f>
        <v>12.81</v>
      </c>
      <c r="M57" s="343">
        <f>1.65+L57</f>
        <v>14.46</v>
      </c>
      <c r="N57" s="538" t="s">
        <v>258</v>
      </c>
      <c r="O57" s="322"/>
      <c r="P57" s="323"/>
      <c r="Q57" s="542" t="s">
        <v>399</v>
      </c>
      <c r="R57" s="543" t="s">
        <v>352</v>
      </c>
      <c r="S57" s="315"/>
      <c r="T57" s="321"/>
      <c r="U57" s="321"/>
      <c r="Z57" s="324"/>
    </row>
    <row r="58" spans="1:26" s="319" customFormat="1" ht="19.149999999999999" customHeight="1">
      <c r="A58" s="433"/>
      <c r="B58" s="326"/>
      <c r="C58" s="328"/>
      <c r="D58" s="441"/>
      <c r="E58" s="408" t="s">
        <v>296</v>
      </c>
      <c r="F58" s="409">
        <v>661814877273</v>
      </c>
      <c r="G58" s="457"/>
      <c r="H58" s="457"/>
      <c r="I58" s="331"/>
      <c r="J58" s="331">
        <v>8</v>
      </c>
      <c r="K58" s="342"/>
      <c r="L58" s="343"/>
      <c r="M58" s="343"/>
      <c r="N58" s="442"/>
      <c r="O58" s="322"/>
      <c r="P58" s="323"/>
      <c r="Q58" s="542" t="s">
        <v>400</v>
      </c>
      <c r="R58" s="543" t="s">
        <v>354</v>
      </c>
      <c r="S58" s="315"/>
      <c r="T58" s="321"/>
      <c r="U58" s="321"/>
      <c r="Z58" s="324"/>
    </row>
    <row r="59" spans="1:26" s="319" customFormat="1" ht="19.149999999999999" customHeight="1">
      <c r="A59" s="433"/>
      <c r="B59" s="326"/>
      <c r="C59" s="328"/>
      <c r="D59" s="441"/>
      <c r="E59" s="408" t="s">
        <v>297</v>
      </c>
      <c r="F59" s="409">
        <v>661814877259</v>
      </c>
      <c r="G59" s="457"/>
      <c r="H59" s="457"/>
      <c r="I59" s="331"/>
      <c r="J59" s="331">
        <v>5</v>
      </c>
      <c r="K59" s="342"/>
      <c r="L59" s="343"/>
      <c r="M59" s="343"/>
      <c r="N59" s="442"/>
      <c r="O59" s="322"/>
      <c r="P59" s="323"/>
      <c r="Q59" s="542" t="s">
        <v>401</v>
      </c>
      <c r="R59" s="543" t="s">
        <v>356</v>
      </c>
      <c r="S59" s="315"/>
      <c r="T59" s="321"/>
      <c r="U59" s="321"/>
      <c r="Z59" s="324"/>
    </row>
    <row r="60" spans="1:26" s="319" customFormat="1" ht="19.149999999999999" customHeight="1">
      <c r="A60" s="433"/>
      <c r="B60" s="326"/>
      <c r="C60" s="328"/>
      <c r="D60" s="441"/>
      <c r="E60" s="408" t="s">
        <v>298</v>
      </c>
      <c r="F60" s="409">
        <v>661814877235</v>
      </c>
      <c r="G60" s="457"/>
      <c r="H60" s="457"/>
      <c r="I60" s="331"/>
      <c r="J60" s="331">
        <v>3</v>
      </c>
      <c r="K60" s="342"/>
      <c r="L60" s="343"/>
      <c r="M60" s="343"/>
      <c r="N60" s="442"/>
      <c r="O60" s="322"/>
      <c r="P60" s="323"/>
      <c r="Q60" s="542" t="s">
        <v>402</v>
      </c>
      <c r="R60" s="543" t="s">
        <v>358</v>
      </c>
      <c r="S60" s="315"/>
      <c r="T60" s="321"/>
      <c r="U60" s="321"/>
      <c r="Z60" s="324"/>
    </row>
    <row r="61" spans="1:26" s="319" customFormat="1" ht="19.149999999999999" customHeight="1">
      <c r="A61" s="433">
        <f>A57+I57</f>
        <v>3</v>
      </c>
      <c r="B61" s="326" t="s">
        <v>63</v>
      </c>
      <c r="C61" s="328">
        <f>+A61+I61-1</f>
        <v>3</v>
      </c>
      <c r="D61" s="441"/>
      <c r="E61" s="408" t="s">
        <v>299</v>
      </c>
      <c r="F61" s="409">
        <v>661814877372</v>
      </c>
      <c r="G61" s="457" t="str">
        <f>G53</f>
        <v>W Breton Pant</v>
      </c>
      <c r="H61" s="457" t="str">
        <f>+'INV-PO04774'!E33</f>
        <v>Meteorite Black</v>
      </c>
      <c r="I61" s="331">
        <v>1</v>
      </c>
      <c r="J61" s="331">
        <v>3</v>
      </c>
      <c r="K61" s="342">
        <f>J61+J62+J63+J64</f>
        <v>44</v>
      </c>
      <c r="L61" s="343">
        <f>340*J61/1000+350*J62/1000+360*J63/1000+370*J64/1000</f>
        <v>15.889999999999999</v>
      </c>
      <c r="M61" s="343">
        <f>1.65+L61</f>
        <v>17.54</v>
      </c>
      <c r="N61" s="538" t="s">
        <v>258</v>
      </c>
      <c r="O61" s="322"/>
      <c r="P61" s="323"/>
      <c r="Q61" s="542" t="s">
        <v>411</v>
      </c>
      <c r="R61" s="543" t="s">
        <v>360</v>
      </c>
      <c r="S61" s="315"/>
      <c r="T61" s="321"/>
      <c r="U61" s="321"/>
      <c r="Z61" s="324"/>
    </row>
    <row r="62" spans="1:26" s="319" customFormat="1" ht="19.149999999999999" customHeight="1">
      <c r="A62" s="433"/>
      <c r="B62" s="326"/>
      <c r="C62" s="328"/>
      <c r="D62" s="441"/>
      <c r="E62" s="408" t="s">
        <v>300</v>
      </c>
      <c r="F62" s="409">
        <v>661814877358</v>
      </c>
      <c r="G62" s="457"/>
      <c r="H62" s="457"/>
      <c r="I62" s="331"/>
      <c r="J62" s="331">
        <v>10</v>
      </c>
      <c r="K62" s="342"/>
      <c r="L62" s="343"/>
      <c r="M62" s="343"/>
      <c r="N62" s="442"/>
      <c r="O62" s="322"/>
      <c r="P62" s="323"/>
      <c r="Q62" s="542" t="s">
        <v>412</v>
      </c>
      <c r="R62" s="543" t="s">
        <v>362</v>
      </c>
      <c r="S62" s="315"/>
      <c r="T62" s="321"/>
      <c r="U62" s="321"/>
      <c r="Z62" s="324"/>
    </row>
    <row r="63" spans="1:26" s="319" customFormat="1" ht="19.149999999999999" customHeight="1">
      <c r="A63" s="433"/>
      <c r="B63" s="326"/>
      <c r="C63" s="328"/>
      <c r="D63" s="441"/>
      <c r="E63" s="408" t="s">
        <v>301</v>
      </c>
      <c r="F63" s="409">
        <v>661814877334</v>
      </c>
      <c r="G63" s="457"/>
      <c r="H63" s="457"/>
      <c r="I63" s="331"/>
      <c r="J63" s="331">
        <v>10</v>
      </c>
      <c r="K63" s="342"/>
      <c r="L63" s="343"/>
      <c r="M63" s="343"/>
      <c r="N63" s="442"/>
      <c r="O63" s="322"/>
      <c r="P63" s="323"/>
      <c r="Q63" s="542" t="s">
        <v>413</v>
      </c>
      <c r="R63" s="543" t="s">
        <v>364</v>
      </c>
      <c r="S63" s="315"/>
      <c r="T63" s="321"/>
      <c r="U63" s="321"/>
      <c r="Z63" s="324"/>
    </row>
    <row r="64" spans="1:26" s="319" customFormat="1" ht="19.149999999999999" customHeight="1">
      <c r="A64" s="433"/>
      <c r="B64" s="326"/>
      <c r="C64" s="328"/>
      <c r="D64" s="441"/>
      <c r="E64" s="408" t="s">
        <v>302</v>
      </c>
      <c r="F64" s="409">
        <v>661814877310</v>
      </c>
      <c r="G64" s="457"/>
      <c r="H64" s="457"/>
      <c r="I64" s="331"/>
      <c r="J64" s="331">
        <v>21</v>
      </c>
      <c r="K64" s="342"/>
      <c r="L64" s="343"/>
      <c r="M64" s="343"/>
      <c r="N64" s="442"/>
      <c r="O64" s="322"/>
      <c r="P64" s="323"/>
      <c r="Q64" s="542" t="s">
        <v>414</v>
      </c>
      <c r="R64" s="543" t="s">
        <v>366</v>
      </c>
      <c r="S64" s="315"/>
      <c r="T64" s="321"/>
      <c r="U64" s="321"/>
      <c r="Z64" s="324"/>
    </row>
    <row r="65" spans="1:38" s="319" customFormat="1" ht="19.149999999999999" customHeight="1">
      <c r="A65" s="433">
        <f>A61+I61</f>
        <v>4</v>
      </c>
      <c r="B65" s="326" t="s">
        <v>63</v>
      </c>
      <c r="C65" s="328">
        <f>A65+I61-1</f>
        <v>4</v>
      </c>
      <c r="D65" s="441"/>
      <c r="E65" s="408" t="s">
        <v>303</v>
      </c>
      <c r="F65" s="409">
        <v>661814877457</v>
      </c>
      <c r="G65" s="457"/>
      <c r="H65" s="457"/>
      <c r="I65" s="331">
        <v>1</v>
      </c>
      <c r="J65" s="331">
        <v>16</v>
      </c>
      <c r="K65" s="342">
        <f>J65+J66+J67+J68</f>
        <v>31</v>
      </c>
      <c r="L65" s="343">
        <f>380*J65/1000+390*J66/1000+400*J67/1000+410*J68/1000</f>
        <v>12.040000000000001</v>
      </c>
      <c r="M65" s="343">
        <f>1.65+L65</f>
        <v>13.690000000000001</v>
      </c>
      <c r="N65" s="538" t="s">
        <v>258</v>
      </c>
      <c r="O65" s="322"/>
      <c r="P65" s="323"/>
      <c r="Q65" s="542" t="s">
        <v>407</v>
      </c>
      <c r="R65" s="543" t="s">
        <v>352</v>
      </c>
      <c r="S65" s="315"/>
      <c r="T65" s="321"/>
      <c r="U65" s="321"/>
      <c r="Z65" s="324"/>
    </row>
    <row r="66" spans="1:38" s="319" customFormat="1" ht="19.149999999999999" customHeight="1">
      <c r="A66" s="433"/>
      <c r="B66" s="326"/>
      <c r="C66" s="328"/>
      <c r="D66" s="441"/>
      <c r="E66" s="408" t="s">
        <v>304</v>
      </c>
      <c r="F66" s="409">
        <v>661814877433</v>
      </c>
      <c r="G66" s="457"/>
      <c r="H66" s="457"/>
      <c r="I66" s="331"/>
      <c r="J66" s="331">
        <v>7</v>
      </c>
      <c r="K66" s="342"/>
      <c r="L66" s="343"/>
      <c r="M66" s="343"/>
      <c r="N66" s="442"/>
      <c r="O66" s="322"/>
      <c r="P66" s="323"/>
      <c r="Q66" s="542" t="s">
        <v>408</v>
      </c>
      <c r="R66" s="543" t="s">
        <v>354</v>
      </c>
      <c r="S66" s="315"/>
      <c r="T66" s="321"/>
      <c r="U66" s="321"/>
      <c r="Z66" s="324"/>
    </row>
    <row r="67" spans="1:38" s="319" customFormat="1" ht="19.149999999999999" customHeight="1">
      <c r="A67" s="433"/>
      <c r="B67" s="326"/>
      <c r="C67" s="328"/>
      <c r="D67" s="441"/>
      <c r="E67" s="408" t="s">
        <v>305</v>
      </c>
      <c r="F67" s="409">
        <v>661814877419</v>
      </c>
      <c r="G67" s="457"/>
      <c r="H67" s="457"/>
      <c r="I67" s="331"/>
      <c r="J67" s="331">
        <v>5</v>
      </c>
      <c r="K67" s="342"/>
      <c r="L67" s="343"/>
      <c r="M67" s="343"/>
      <c r="N67" s="442"/>
      <c r="O67" s="322"/>
      <c r="P67" s="323"/>
      <c r="Q67" s="542" t="s">
        <v>409</v>
      </c>
      <c r="R67" s="543" t="s">
        <v>356</v>
      </c>
      <c r="S67" s="315"/>
      <c r="T67" s="321"/>
      <c r="U67" s="321"/>
      <c r="Z67" s="324"/>
    </row>
    <row r="68" spans="1:38" s="319" customFormat="1" ht="19.149999999999999" customHeight="1" thickBot="1">
      <c r="A68" s="476"/>
      <c r="B68" s="488"/>
      <c r="C68" s="478"/>
      <c r="D68" s="479"/>
      <c r="E68" s="496" t="s">
        <v>306</v>
      </c>
      <c r="F68" s="497">
        <v>661814877396</v>
      </c>
      <c r="G68" s="498"/>
      <c r="H68" s="498"/>
      <c r="I68" s="482"/>
      <c r="J68" s="482">
        <v>3</v>
      </c>
      <c r="K68" s="482"/>
      <c r="L68" s="483"/>
      <c r="M68" s="483"/>
      <c r="N68" s="484"/>
      <c r="O68" s="322"/>
      <c r="P68" s="323"/>
      <c r="Q68" s="542" t="s">
        <v>410</v>
      </c>
      <c r="R68" s="543" t="s">
        <v>358</v>
      </c>
      <c r="S68" s="315"/>
      <c r="T68" s="321"/>
      <c r="U68" s="321"/>
      <c r="Z68" s="324"/>
    </row>
    <row r="69" spans="1:38" s="319" customFormat="1" ht="18" customHeight="1">
      <c r="A69" s="470">
        <v>1</v>
      </c>
      <c r="B69" s="334" t="s">
        <v>63</v>
      </c>
      <c r="C69" s="471">
        <f>+A69+I69-1</f>
        <v>1</v>
      </c>
      <c r="D69" s="472" t="str">
        <f>K6</f>
        <v>PO04774</v>
      </c>
      <c r="E69" s="492" t="s">
        <v>307</v>
      </c>
      <c r="F69" s="493">
        <v>6618104885452</v>
      </c>
      <c r="G69" s="494" t="str">
        <f>+'INV-PO04774'!D35</f>
        <v>M Cameron Pant</v>
      </c>
      <c r="H69" s="495" t="str">
        <f>+'INV-PO04774'!E34</f>
        <v>Meteorite Black</v>
      </c>
      <c r="I69" s="443">
        <v>1</v>
      </c>
      <c r="J69" s="443">
        <v>4</v>
      </c>
      <c r="K69" s="444">
        <f>J69+J70+J71+J72+J73+J74+J75+J76</f>
        <v>47</v>
      </c>
      <c r="L69" s="445">
        <f>234*K69/1000</f>
        <v>10.997999999999999</v>
      </c>
      <c r="M69" s="445">
        <f>1.65+L69</f>
        <v>12.648</v>
      </c>
      <c r="N69" s="540" t="s">
        <v>350</v>
      </c>
      <c r="O69" s="322" t="s">
        <v>79</v>
      </c>
      <c r="P69" s="323">
        <v>209</v>
      </c>
      <c r="Q69" s="319" t="s">
        <v>423</v>
      </c>
      <c r="R69" s="319" t="s">
        <v>376</v>
      </c>
      <c r="S69" s="314"/>
      <c r="T69" s="314"/>
      <c r="U69" s="314"/>
      <c r="V69" s="314"/>
      <c r="W69" s="314"/>
      <c r="X69" s="314"/>
      <c r="Y69" s="314"/>
      <c r="Z69" s="314"/>
      <c r="AA69" s="314"/>
      <c r="AB69" s="314"/>
      <c r="AC69" s="314"/>
      <c r="AD69" s="314"/>
      <c r="AE69" s="314"/>
      <c r="AF69" s="314"/>
      <c r="AG69" s="314"/>
      <c r="AH69" s="314"/>
      <c r="AI69" s="314"/>
      <c r="AJ69" s="314"/>
      <c r="AK69" s="314"/>
      <c r="AL69" s="314"/>
    </row>
    <row r="70" spans="1:38" s="319" customFormat="1" ht="18" customHeight="1">
      <c r="A70" s="433"/>
      <c r="B70" s="326"/>
      <c r="C70" s="328"/>
      <c r="D70" s="441"/>
      <c r="E70" s="406" t="s">
        <v>308</v>
      </c>
      <c r="F70" s="407">
        <v>6618104885438</v>
      </c>
      <c r="G70" s="458"/>
      <c r="H70" s="458"/>
      <c r="I70" s="331"/>
      <c r="J70" s="331">
        <v>4</v>
      </c>
      <c r="K70" s="342"/>
      <c r="L70" s="343"/>
      <c r="M70" s="343"/>
      <c r="N70" s="442"/>
      <c r="O70" s="322" t="s">
        <v>80</v>
      </c>
      <c r="P70" s="323">
        <v>219</v>
      </c>
      <c r="Q70" s="319" t="s">
        <v>424</v>
      </c>
      <c r="R70" s="319" t="s">
        <v>378</v>
      </c>
      <c r="S70" s="314"/>
      <c r="T70" s="314"/>
      <c r="U70" s="314"/>
      <c r="V70" s="314"/>
      <c r="W70" s="314"/>
      <c r="X70" s="314"/>
      <c r="Y70" s="314"/>
      <c r="Z70" s="314"/>
      <c r="AA70" s="314"/>
      <c r="AB70" s="314"/>
      <c r="AC70" s="314"/>
      <c r="AD70" s="314"/>
      <c r="AE70" s="314"/>
      <c r="AF70" s="314"/>
      <c r="AG70" s="314"/>
      <c r="AH70" s="314"/>
      <c r="AI70" s="314"/>
      <c r="AJ70" s="314"/>
      <c r="AK70" s="314"/>
      <c r="AL70" s="314"/>
    </row>
    <row r="71" spans="1:38" s="319" customFormat="1" ht="18" customHeight="1">
      <c r="A71" s="433"/>
      <c r="B71" s="326"/>
      <c r="C71" s="328"/>
      <c r="D71" s="441"/>
      <c r="E71" s="406" t="s">
        <v>309</v>
      </c>
      <c r="F71" s="407">
        <v>6618104885414</v>
      </c>
      <c r="G71" s="458"/>
      <c r="H71" s="458"/>
      <c r="I71" s="331"/>
      <c r="J71" s="331">
        <v>8</v>
      </c>
      <c r="K71" s="342"/>
      <c r="L71" s="343"/>
      <c r="M71" s="343"/>
      <c r="N71" s="442"/>
      <c r="O71" s="322" t="s">
        <v>81</v>
      </c>
      <c r="P71" s="323">
        <v>234</v>
      </c>
      <c r="Q71" s="319" t="s">
        <v>425</v>
      </c>
      <c r="R71" s="319" t="s">
        <v>380</v>
      </c>
      <c r="S71" s="314"/>
      <c r="T71" s="314"/>
      <c r="U71" s="314"/>
      <c r="V71" s="314"/>
      <c r="W71" s="314"/>
      <c r="X71" s="314"/>
      <c r="Y71" s="314"/>
      <c r="Z71" s="314"/>
      <c r="AA71" s="314"/>
      <c r="AB71" s="314"/>
      <c r="AC71" s="314"/>
      <c r="AD71" s="314"/>
      <c r="AE71" s="314"/>
      <c r="AF71" s="314"/>
      <c r="AG71" s="314"/>
      <c r="AH71" s="314"/>
      <c r="AI71" s="314"/>
      <c r="AJ71" s="314"/>
      <c r="AK71" s="314"/>
      <c r="AL71" s="314"/>
    </row>
    <row r="72" spans="1:38" s="319" customFormat="1" ht="18" customHeight="1">
      <c r="A72" s="433"/>
      <c r="B72" s="326"/>
      <c r="C72" s="328"/>
      <c r="D72" s="441"/>
      <c r="E72" s="406" t="s">
        <v>310</v>
      </c>
      <c r="F72" s="407">
        <v>6618104885391</v>
      </c>
      <c r="G72" s="458"/>
      <c r="H72" s="458"/>
      <c r="I72" s="331"/>
      <c r="J72" s="331">
        <v>7</v>
      </c>
      <c r="K72" s="342"/>
      <c r="L72" s="343"/>
      <c r="M72" s="343"/>
      <c r="N72" s="442"/>
      <c r="O72" s="322" t="s">
        <v>82</v>
      </c>
      <c r="P72" s="323">
        <v>249</v>
      </c>
      <c r="Q72" s="319" t="s">
        <v>426</v>
      </c>
      <c r="R72" s="319" t="s">
        <v>382</v>
      </c>
      <c r="S72" s="314"/>
      <c r="T72" s="314"/>
      <c r="U72" s="314"/>
      <c r="V72" s="314"/>
      <c r="W72" s="314"/>
      <c r="X72" s="314"/>
      <c r="Y72" s="314"/>
      <c r="Z72" s="314"/>
      <c r="AA72" s="314"/>
      <c r="AB72" s="314"/>
      <c r="AC72" s="314"/>
      <c r="AD72" s="314"/>
      <c r="AE72" s="314"/>
      <c r="AF72" s="314"/>
      <c r="AG72" s="314"/>
      <c r="AH72" s="314"/>
      <c r="AI72" s="314"/>
      <c r="AJ72" s="314"/>
      <c r="AK72" s="314"/>
      <c r="AL72" s="314"/>
    </row>
    <row r="73" spans="1:38" s="319" customFormat="1" ht="18" customHeight="1">
      <c r="A73" s="433"/>
      <c r="B73" s="326"/>
      <c r="C73" s="328"/>
      <c r="D73" s="441"/>
      <c r="E73" s="406" t="s">
        <v>311</v>
      </c>
      <c r="F73" s="407">
        <v>6618104885377</v>
      </c>
      <c r="G73" s="458"/>
      <c r="H73" s="458"/>
      <c r="I73" s="331"/>
      <c r="J73" s="331">
        <v>9</v>
      </c>
      <c r="K73" s="342"/>
      <c r="L73" s="343"/>
      <c r="M73" s="343"/>
      <c r="N73" s="442"/>
      <c r="O73" s="322" t="s">
        <v>312</v>
      </c>
      <c r="P73" s="323">
        <v>253</v>
      </c>
      <c r="Q73" s="542" t="s">
        <v>427</v>
      </c>
      <c r="R73" s="543" t="s">
        <v>384</v>
      </c>
      <c r="S73" s="314"/>
      <c r="T73" s="314"/>
      <c r="U73" s="314"/>
      <c r="V73" s="314"/>
      <c r="W73" s="314"/>
      <c r="X73" s="314"/>
      <c r="Y73" s="314"/>
      <c r="Z73" s="314"/>
      <c r="AA73" s="314"/>
      <c r="AB73" s="314"/>
      <c r="AC73" s="314"/>
      <c r="AD73" s="314"/>
      <c r="AE73" s="314"/>
      <c r="AF73" s="314"/>
      <c r="AG73" s="314"/>
      <c r="AH73" s="314"/>
      <c r="AI73" s="314"/>
      <c r="AJ73" s="314"/>
      <c r="AK73" s="314"/>
      <c r="AL73" s="314"/>
    </row>
    <row r="74" spans="1:38" s="319" customFormat="1" ht="18" customHeight="1">
      <c r="A74" s="433"/>
      <c r="B74" s="326"/>
      <c r="C74" s="328"/>
      <c r="D74" s="441"/>
      <c r="E74" s="406" t="s">
        <v>313</v>
      </c>
      <c r="F74" s="407">
        <v>6618104885339</v>
      </c>
      <c r="G74" s="458"/>
      <c r="H74" s="458"/>
      <c r="I74" s="331"/>
      <c r="J74" s="331">
        <v>10</v>
      </c>
      <c r="K74" s="342"/>
      <c r="L74" s="343"/>
      <c r="M74" s="343"/>
      <c r="N74" s="442"/>
      <c r="O74" s="322"/>
      <c r="P74" s="323"/>
      <c r="Q74" s="542" t="s">
        <v>428</v>
      </c>
      <c r="R74" s="543" t="s">
        <v>386</v>
      </c>
      <c r="S74" s="314"/>
      <c r="T74" s="314"/>
      <c r="U74" s="314"/>
      <c r="V74" s="314"/>
      <c r="W74" s="314"/>
      <c r="X74" s="314"/>
      <c r="Y74" s="314"/>
      <c r="Z74" s="314"/>
      <c r="AA74" s="314"/>
      <c r="AB74" s="314"/>
      <c r="AC74" s="314"/>
      <c r="AD74" s="314"/>
      <c r="AE74" s="314"/>
      <c r="AF74" s="314"/>
      <c r="AG74" s="314"/>
      <c r="AH74" s="314"/>
      <c r="AI74" s="314"/>
      <c r="AJ74" s="314"/>
      <c r="AK74" s="314"/>
      <c r="AL74" s="314"/>
    </row>
    <row r="75" spans="1:38" s="319" customFormat="1" ht="18" customHeight="1">
      <c r="A75" s="433"/>
      <c r="B75" s="326"/>
      <c r="C75" s="328"/>
      <c r="D75" s="441"/>
      <c r="E75" s="406" t="s">
        <v>314</v>
      </c>
      <c r="F75" s="407">
        <v>6618104885315</v>
      </c>
      <c r="G75" s="458"/>
      <c r="H75" s="458"/>
      <c r="I75" s="331"/>
      <c r="J75" s="331">
        <v>3</v>
      </c>
      <c r="K75" s="342"/>
      <c r="L75" s="343"/>
      <c r="M75" s="343"/>
      <c r="N75" s="442"/>
      <c r="O75" s="322"/>
      <c r="P75" s="323"/>
      <c r="Q75" s="542" t="s">
        <v>429</v>
      </c>
      <c r="R75" s="543" t="s">
        <v>388</v>
      </c>
      <c r="S75" s="314"/>
      <c r="T75" s="314"/>
      <c r="U75" s="314"/>
      <c r="V75" s="314"/>
      <c r="W75" s="314"/>
      <c r="X75" s="314"/>
      <c r="Y75" s="314"/>
      <c r="Z75" s="314"/>
      <c r="AA75" s="314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</row>
    <row r="76" spans="1:38" s="319" customFormat="1" ht="18" customHeight="1">
      <c r="A76" s="433"/>
      <c r="B76" s="326"/>
      <c r="C76" s="328"/>
      <c r="D76" s="441"/>
      <c r="E76" s="406" t="s">
        <v>315</v>
      </c>
      <c r="F76" s="407">
        <v>6618104885292</v>
      </c>
      <c r="G76" s="458"/>
      <c r="H76" s="458"/>
      <c r="I76" s="331"/>
      <c r="J76" s="331">
        <v>2</v>
      </c>
      <c r="K76" s="342"/>
      <c r="L76" s="343"/>
      <c r="M76" s="343"/>
      <c r="N76" s="442"/>
      <c r="O76" s="322"/>
      <c r="P76" s="323"/>
      <c r="Q76" s="542" t="s">
        <v>430</v>
      </c>
      <c r="R76" s="543" t="s">
        <v>390</v>
      </c>
      <c r="S76" s="314"/>
      <c r="T76" s="314"/>
      <c r="U76" s="314"/>
      <c r="V76" s="314"/>
      <c r="W76" s="314"/>
      <c r="X76" s="314"/>
      <c r="Y76" s="314"/>
      <c r="Z76" s="314"/>
      <c r="AA76" s="314"/>
      <c r="AB76" s="314"/>
      <c r="AC76" s="314"/>
      <c r="AD76" s="314"/>
      <c r="AE76" s="314"/>
      <c r="AF76" s="314"/>
      <c r="AG76" s="314"/>
      <c r="AH76" s="314"/>
      <c r="AI76" s="314"/>
      <c r="AJ76" s="314"/>
      <c r="AK76" s="314"/>
      <c r="AL76" s="314"/>
    </row>
    <row r="77" spans="1:38" s="319" customFormat="1" ht="18" customHeight="1">
      <c r="A77" s="433">
        <f>A69+I69</f>
        <v>2</v>
      </c>
      <c r="B77" s="326" t="s">
        <v>63</v>
      </c>
      <c r="C77" s="328">
        <f>+A77+I77-1</f>
        <v>2</v>
      </c>
      <c r="D77" s="441"/>
      <c r="E77" s="406" t="s">
        <v>316</v>
      </c>
      <c r="F77" s="407">
        <v>6618104893112</v>
      </c>
      <c r="G77" s="458"/>
      <c r="H77" s="458" t="str">
        <f>+'INV-PO04774'!E35</f>
        <v>Cedar Bark</v>
      </c>
      <c r="I77" s="331">
        <v>1</v>
      </c>
      <c r="J77" s="331">
        <v>3</v>
      </c>
      <c r="K77" s="342">
        <f>J77+J78+J79+J80+J81+J82+J83+J84</f>
        <v>35</v>
      </c>
      <c r="L77" s="343">
        <f>234*K77/1000</f>
        <v>8.19</v>
      </c>
      <c r="M77" s="343">
        <f>1.65+L77</f>
        <v>9.84</v>
      </c>
      <c r="N77" s="538" t="s">
        <v>258</v>
      </c>
      <c r="O77" s="322"/>
      <c r="P77" s="323"/>
      <c r="Q77" s="542" t="s">
        <v>415</v>
      </c>
      <c r="R77" s="543" t="s">
        <v>376</v>
      </c>
      <c r="S77" s="314"/>
      <c r="T77" s="314"/>
      <c r="U77" s="314"/>
      <c r="V77" s="314"/>
      <c r="W77" s="314"/>
      <c r="X77" s="314"/>
      <c r="Y77" s="314"/>
      <c r="Z77" s="314"/>
      <c r="AA77" s="314"/>
      <c r="AB77" s="314"/>
      <c r="AC77" s="314"/>
      <c r="AD77" s="314"/>
      <c r="AE77" s="314"/>
      <c r="AF77" s="314"/>
      <c r="AG77" s="314"/>
      <c r="AH77" s="314"/>
      <c r="AI77" s="314"/>
      <c r="AJ77" s="314"/>
      <c r="AK77" s="314"/>
      <c r="AL77" s="314"/>
    </row>
    <row r="78" spans="1:38" s="319" customFormat="1" ht="18" customHeight="1">
      <c r="A78" s="434"/>
      <c r="B78" s="337"/>
      <c r="C78" s="338"/>
      <c r="D78" s="441"/>
      <c r="E78" s="406" t="s">
        <v>317</v>
      </c>
      <c r="F78" s="407">
        <v>6618104893099</v>
      </c>
      <c r="G78" s="458"/>
      <c r="H78" s="458"/>
      <c r="I78" s="331"/>
      <c r="J78" s="331">
        <v>3</v>
      </c>
      <c r="K78" s="342"/>
      <c r="L78" s="343"/>
      <c r="M78" s="343"/>
      <c r="N78" s="442"/>
      <c r="O78" s="322"/>
      <c r="P78" s="323"/>
      <c r="Q78" s="542" t="s">
        <v>416</v>
      </c>
      <c r="R78" s="543" t="s">
        <v>378</v>
      </c>
      <c r="S78" s="314"/>
      <c r="T78" s="314"/>
      <c r="U78" s="314"/>
      <c r="V78" s="314"/>
      <c r="W78" s="314"/>
      <c r="X78" s="314"/>
      <c r="Y78" s="314"/>
      <c r="Z78" s="314"/>
      <c r="AA78" s="314"/>
      <c r="AB78" s="314"/>
      <c r="AC78" s="314"/>
      <c r="AD78" s="314"/>
      <c r="AE78" s="314"/>
      <c r="AF78" s="314"/>
      <c r="AG78" s="314"/>
      <c r="AH78" s="314"/>
      <c r="AI78" s="314"/>
      <c r="AJ78" s="314"/>
      <c r="AK78" s="314"/>
      <c r="AL78" s="314"/>
    </row>
    <row r="79" spans="1:38" s="319" customFormat="1" ht="18" customHeight="1">
      <c r="A79" s="434"/>
      <c r="B79" s="337"/>
      <c r="C79" s="338"/>
      <c r="D79" s="441"/>
      <c r="E79" s="406" t="s">
        <v>318</v>
      </c>
      <c r="F79" s="407">
        <v>6618104893075</v>
      </c>
      <c r="G79" s="458"/>
      <c r="H79" s="458"/>
      <c r="I79" s="331"/>
      <c r="J79" s="331">
        <v>6</v>
      </c>
      <c r="K79" s="342"/>
      <c r="L79" s="343"/>
      <c r="M79" s="343"/>
      <c r="N79" s="442"/>
      <c r="O79" s="322"/>
      <c r="P79" s="323"/>
      <c r="Q79" s="542" t="s">
        <v>417</v>
      </c>
      <c r="R79" s="543" t="s">
        <v>380</v>
      </c>
      <c r="S79" s="314"/>
      <c r="T79" s="314"/>
      <c r="U79" s="314"/>
      <c r="V79" s="314"/>
      <c r="W79" s="314"/>
      <c r="X79" s="314"/>
      <c r="Y79" s="314"/>
      <c r="Z79" s="314"/>
      <c r="AA79" s="314"/>
      <c r="AB79" s="314"/>
      <c r="AC79" s="314"/>
      <c r="AD79" s="314"/>
      <c r="AE79" s="314"/>
      <c r="AF79" s="314"/>
      <c r="AG79" s="314"/>
      <c r="AH79" s="314"/>
      <c r="AI79" s="314"/>
      <c r="AJ79" s="314"/>
      <c r="AK79" s="314"/>
      <c r="AL79" s="314"/>
    </row>
    <row r="80" spans="1:38" s="319" customFormat="1" ht="18" customHeight="1">
      <c r="A80" s="434"/>
      <c r="B80" s="337"/>
      <c r="C80" s="338"/>
      <c r="D80" s="441"/>
      <c r="E80" s="406" t="s">
        <v>319</v>
      </c>
      <c r="F80" s="407">
        <v>6618104893051</v>
      </c>
      <c r="G80" s="458"/>
      <c r="H80" s="458"/>
      <c r="I80" s="331"/>
      <c r="J80" s="331">
        <v>5</v>
      </c>
      <c r="K80" s="342"/>
      <c r="L80" s="343"/>
      <c r="M80" s="343"/>
      <c r="N80" s="442"/>
      <c r="O80" s="322"/>
      <c r="P80" s="323"/>
      <c r="Q80" s="542" t="s">
        <v>418</v>
      </c>
      <c r="R80" s="543" t="s">
        <v>382</v>
      </c>
      <c r="S80" s="314"/>
      <c r="T80" s="314"/>
      <c r="U80" s="314"/>
      <c r="V80" s="314"/>
      <c r="W80" s="314"/>
      <c r="X80" s="314"/>
      <c r="Y80" s="314"/>
      <c r="Z80" s="314"/>
      <c r="AA80" s="314"/>
      <c r="AB80" s="314"/>
      <c r="AC80" s="314"/>
      <c r="AD80" s="314"/>
      <c r="AE80" s="314"/>
      <c r="AF80" s="314"/>
      <c r="AG80" s="314"/>
      <c r="AH80" s="314"/>
      <c r="AI80" s="314"/>
      <c r="AJ80" s="314"/>
      <c r="AK80" s="314"/>
      <c r="AL80" s="314"/>
    </row>
    <row r="81" spans="1:38" s="319" customFormat="1" ht="18" customHeight="1">
      <c r="A81" s="434"/>
      <c r="B81" s="337"/>
      <c r="C81" s="338"/>
      <c r="D81" s="441"/>
      <c r="E81" s="406" t="s">
        <v>320</v>
      </c>
      <c r="F81" s="407">
        <v>6618104893037</v>
      </c>
      <c r="G81" s="458"/>
      <c r="H81" s="458"/>
      <c r="I81" s="331"/>
      <c r="J81" s="331">
        <v>7</v>
      </c>
      <c r="K81" s="342"/>
      <c r="L81" s="343"/>
      <c r="M81" s="343"/>
      <c r="N81" s="442"/>
      <c r="O81" s="322"/>
      <c r="P81" s="323"/>
      <c r="Q81" s="542" t="s">
        <v>419</v>
      </c>
      <c r="R81" s="543" t="s">
        <v>384</v>
      </c>
      <c r="S81" s="314"/>
      <c r="T81" s="314"/>
      <c r="U81" s="314"/>
      <c r="V81" s="314"/>
      <c r="W81" s="314"/>
      <c r="X81" s="314"/>
      <c r="Y81" s="314"/>
      <c r="Z81" s="314"/>
      <c r="AA81" s="314"/>
      <c r="AB81" s="314"/>
      <c r="AC81" s="314"/>
      <c r="AD81" s="314"/>
      <c r="AE81" s="314"/>
      <c r="AF81" s="314"/>
      <c r="AG81" s="314"/>
      <c r="AH81" s="314"/>
      <c r="AI81" s="314"/>
      <c r="AJ81" s="314"/>
      <c r="AK81" s="314"/>
      <c r="AL81" s="314"/>
    </row>
    <row r="82" spans="1:38" s="319" customFormat="1" ht="18" customHeight="1">
      <c r="A82" s="434"/>
      <c r="B82" s="337"/>
      <c r="C82" s="338"/>
      <c r="D82" s="441"/>
      <c r="E82" s="406" t="s">
        <v>321</v>
      </c>
      <c r="F82" s="407">
        <v>6618104893013</v>
      </c>
      <c r="G82" s="458"/>
      <c r="H82" s="458"/>
      <c r="I82" s="331"/>
      <c r="J82" s="331">
        <v>8</v>
      </c>
      <c r="K82" s="342"/>
      <c r="L82" s="343"/>
      <c r="M82" s="343"/>
      <c r="N82" s="442"/>
      <c r="O82" s="322"/>
      <c r="P82" s="323"/>
      <c r="Q82" s="542" t="s">
        <v>420</v>
      </c>
      <c r="R82" s="543" t="s">
        <v>386</v>
      </c>
      <c r="S82" s="314"/>
      <c r="T82" s="314"/>
      <c r="U82" s="314"/>
      <c r="V82" s="314"/>
      <c r="W82" s="314"/>
      <c r="X82" s="314"/>
      <c r="Y82" s="314"/>
      <c r="Z82" s="314"/>
      <c r="AA82" s="314"/>
      <c r="AB82" s="314"/>
      <c r="AC82" s="314"/>
      <c r="AD82" s="314"/>
      <c r="AE82" s="314"/>
      <c r="AF82" s="314"/>
      <c r="AG82" s="314"/>
      <c r="AH82" s="314"/>
      <c r="AI82" s="314"/>
      <c r="AJ82" s="314"/>
      <c r="AK82" s="314"/>
      <c r="AL82" s="314"/>
    </row>
    <row r="83" spans="1:38" s="319" customFormat="1" ht="18" customHeight="1">
      <c r="A83" s="434"/>
      <c r="B83" s="337"/>
      <c r="C83" s="338"/>
      <c r="D83" s="441"/>
      <c r="E83" s="406" t="s">
        <v>322</v>
      </c>
      <c r="F83" s="407">
        <v>6618104892993</v>
      </c>
      <c r="G83" s="458"/>
      <c r="H83" s="458"/>
      <c r="I83" s="331"/>
      <c r="J83" s="331">
        <v>2</v>
      </c>
      <c r="K83" s="342"/>
      <c r="L83" s="343"/>
      <c r="M83" s="343"/>
      <c r="N83" s="442"/>
      <c r="O83" s="322"/>
      <c r="P83" s="323"/>
      <c r="Q83" s="542" t="s">
        <v>421</v>
      </c>
      <c r="R83" s="543" t="s">
        <v>388</v>
      </c>
      <c r="S83" s="314"/>
      <c r="T83" s="314"/>
      <c r="U83" s="314"/>
      <c r="V83" s="314"/>
      <c r="W83" s="314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</row>
    <row r="84" spans="1:38" s="319" customFormat="1" ht="18" customHeight="1" thickBot="1">
      <c r="A84" s="506"/>
      <c r="B84" s="507"/>
      <c r="C84" s="508"/>
      <c r="D84" s="479"/>
      <c r="E84" s="509" t="s">
        <v>323</v>
      </c>
      <c r="F84" s="510">
        <v>6618104892979</v>
      </c>
      <c r="G84" s="511"/>
      <c r="H84" s="511"/>
      <c r="I84" s="482"/>
      <c r="J84" s="482">
        <v>1</v>
      </c>
      <c r="K84" s="482"/>
      <c r="L84" s="483"/>
      <c r="M84" s="483"/>
      <c r="N84" s="484"/>
      <c r="O84" s="322"/>
      <c r="P84" s="323"/>
      <c r="Q84" s="542" t="s">
        <v>422</v>
      </c>
      <c r="R84" s="543" t="s">
        <v>390</v>
      </c>
      <c r="S84" s="315"/>
      <c r="T84" s="321"/>
      <c r="U84" s="321"/>
      <c r="Z84" s="324"/>
    </row>
    <row r="85" spans="1:38" s="319" customFormat="1" ht="18" customHeight="1">
      <c r="A85" s="499">
        <v>1</v>
      </c>
      <c r="B85" s="334" t="s">
        <v>63</v>
      </c>
      <c r="C85" s="500">
        <v>1</v>
      </c>
      <c r="D85" s="500" t="str">
        <f>K6</f>
        <v>PO04774</v>
      </c>
      <c r="E85" s="501" t="s">
        <v>344</v>
      </c>
      <c r="F85" s="502">
        <v>661814939698</v>
      </c>
      <c r="G85" s="503" t="str">
        <f>+'INV-PO04774'!D36</f>
        <v>W Cowen Pant</v>
      </c>
      <c r="H85" s="504" t="str">
        <f>+'INV-PO04774'!E36</f>
        <v>Ashwood</v>
      </c>
      <c r="I85" s="505">
        <v>1</v>
      </c>
      <c r="J85" s="505">
        <v>2</v>
      </c>
      <c r="K85" s="505">
        <v>41</v>
      </c>
      <c r="L85" s="505">
        <v>15.78</v>
      </c>
      <c r="M85" s="505">
        <v>16.5</v>
      </c>
      <c r="N85" s="539" t="s">
        <v>258</v>
      </c>
      <c r="O85" s="313"/>
      <c r="P85" s="313"/>
      <c r="Q85" s="544" t="s">
        <v>435</v>
      </c>
      <c r="R85" s="543" t="s">
        <v>79</v>
      </c>
      <c r="S85" s="315"/>
      <c r="T85" s="321"/>
      <c r="U85" s="321"/>
      <c r="Y85" s="314"/>
      <c r="Z85" s="315"/>
      <c r="AA85" s="315"/>
      <c r="AB85" s="314"/>
      <c r="AC85" s="314"/>
      <c r="AD85" s="314"/>
      <c r="AE85" s="318"/>
      <c r="AF85" s="314"/>
      <c r="AG85" s="315"/>
      <c r="AH85" s="315"/>
      <c r="AI85" s="314"/>
      <c r="AJ85" s="314"/>
      <c r="AK85" s="318"/>
    </row>
    <row r="86" spans="1:38" s="319" customFormat="1" ht="18" customHeight="1">
      <c r="A86" s="435"/>
      <c r="B86" s="341"/>
      <c r="C86" s="339"/>
      <c r="D86" s="339"/>
      <c r="E86" s="413" t="s">
        <v>345</v>
      </c>
      <c r="F86" s="414">
        <v>661814939711</v>
      </c>
      <c r="G86" s="459"/>
      <c r="H86" s="460"/>
      <c r="I86" s="340"/>
      <c r="J86" s="340">
        <v>8</v>
      </c>
      <c r="K86" s="340"/>
      <c r="L86" s="340"/>
      <c r="M86" s="340"/>
      <c r="N86" s="446"/>
      <c r="O86" s="313"/>
      <c r="P86" s="313"/>
      <c r="Q86" s="544" t="s">
        <v>433</v>
      </c>
      <c r="R86" s="543" t="s">
        <v>80</v>
      </c>
      <c r="S86" s="315"/>
      <c r="T86" s="321"/>
      <c r="U86" s="321"/>
      <c r="Y86" s="314"/>
      <c r="Z86" s="315"/>
      <c r="AA86" s="315"/>
      <c r="AB86" s="314"/>
      <c r="AC86" s="314"/>
      <c r="AD86" s="314"/>
      <c r="AE86" s="318"/>
      <c r="AF86" s="314"/>
      <c r="AG86" s="315"/>
      <c r="AH86" s="315"/>
      <c r="AI86" s="314"/>
      <c r="AJ86" s="314"/>
      <c r="AK86" s="318"/>
    </row>
    <row r="87" spans="1:38" s="319" customFormat="1" ht="18" customHeight="1">
      <c r="A87" s="435"/>
      <c r="B87" s="341"/>
      <c r="C87" s="339"/>
      <c r="D87" s="339"/>
      <c r="E87" s="413" t="s">
        <v>346</v>
      </c>
      <c r="F87" s="414">
        <v>661814939728</v>
      </c>
      <c r="G87" s="459"/>
      <c r="H87" s="460"/>
      <c r="I87" s="340"/>
      <c r="J87" s="340">
        <v>15</v>
      </c>
      <c r="K87" s="340"/>
      <c r="L87" s="340"/>
      <c r="M87" s="340"/>
      <c r="N87" s="446"/>
      <c r="O87" s="313"/>
      <c r="P87" s="313"/>
      <c r="Q87" s="544" t="s">
        <v>432</v>
      </c>
      <c r="R87" s="543" t="s">
        <v>81</v>
      </c>
      <c r="S87" s="315"/>
      <c r="T87" s="321"/>
      <c r="U87" s="321"/>
      <c r="Y87" s="314"/>
      <c r="Z87" s="315"/>
      <c r="AA87" s="315"/>
      <c r="AB87" s="314"/>
      <c r="AC87" s="314"/>
      <c r="AD87" s="314"/>
      <c r="AE87" s="318"/>
      <c r="AF87" s="314"/>
      <c r="AG87" s="315"/>
      <c r="AH87" s="315"/>
      <c r="AI87" s="314"/>
      <c r="AJ87" s="314"/>
      <c r="AK87" s="318"/>
    </row>
    <row r="88" spans="1:38" s="319" customFormat="1" ht="18" customHeight="1">
      <c r="A88" s="435"/>
      <c r="B88" s="341"/>
      <c r="C88" s="339"/>
      <c r="D88" s="339"/>
      <c r="E88" s="413" t="s">
        <v>347</v>
      </c>
      <c r="F88" s="414">
        <v>661814939435</v>
      </c>
      <c r="G88" s="459"/>
      <c r="H88" s="460"/>
      <c r="I88" s="340"/>
      <c r="J88" s="340">
        <v>10</v>
      </c>
      <c r="K88" s="340"/>
      <c r="L88" s="340"/>
      <c r="M88" s="340"/>
      <c r="N88" s="446"/>
      <c r="O88" s="313"/>
      <c r="P88" s="313"/>
      <c r="Q88" s="544" t="s">
        <v>431</v>
      </c>
      <c r="R88" s="543" t="s">
        <v>82</v>
      </c>
      <c r="S88" s="315"/>
      <c r="T88" s="321"/>
      <c r="U88" s="321"/>
      <c r="Y88" s="314"/>
      <c r="Z88" s="315"/>
      <c r="AA88" s="315"/>
      <c r="AB88" s="314"/>
      <c r="AC88" s="314"/>
      <c r="AD88" s="314"/>
      <c r="AE88" s="318"/>
      <c r="AF88" s="314"/>
      <c r="AG88" s="315"/>
      <c r="AH88" s="315"/>
      <c r="AI88" s="314"/>
      <c r="AJ88" s="314"/>
      <c r="AK88" s="318"/>
    </row>
    <row r="89" spans="1:38" s="319" customFormat="1" ht="18" customHeight="1">
      <c r="A89" s="435"/>
      <c r="B89" s="341"/>
      <c r="C89" s="339"/>
      <c r="D89" s="339"/>
      <c r="E89" s="413" t="s">
        <v>348</v>
      </c>
      <c r="F89" s="414">
        <v>661814939704</v>
      </c>
      <c r="G89" s="459"/>
      <c r="H89" s="460"/>
      <c r="I89" s="340"/>
      <c r="J89" s="340">
        <v>6</v>
      </c>
      <c r="K89" s="340"/>
      <c r="L89" s="340"/>
      <c r="M89" s="340"/>
      <c r="N89" s="446"/>
      <c r="O89" s="313"/>
      <c r="P89" s="313"/>
      <c r="Q89" s="544" t="s">
        <v>434</v>
      </c>
      <c r="R89" s="543" t="s">
        <v>83</v>
      </c>
      <c r="S89" s="315"/>
      <c r="T89" s="321"/>
      <c r="U89" s="321"/>
      <c r="Y89" s="314"/>
      <c r="Z89" s="315"/>
      <c r="AA89" s="315"/>
      <c r="AB89" s="314"/>
      <c r="AC89" s="314"/>
      <c r="AD89" s="314"/>
      <c r="AE89" s="318"/>
      <c r="AF89" s="314"/>
      <c r="AG89" s="315"/>
      <c r="AH89" s="315"/>
      <c r="AI89" s="314"/>
      <c r="AJ89" s="314"/>
      <c r="AK89" s="318"/>
    </row>
    <row r="90" spans="1:38" s="319" customFormat="1" ht="19.149999999999999" customHeight="1">
      <c r="A90" s="433">
        <v>2</v>
      </c>
      <c r="B90" s="326" t="s">
        <v>63</v>
      </c>
      <c r="C90" s="328">
        <v>2</v>
      </c>
      <c r="D90" s="339"/>
      <c r="E90" s="415" t="s">
        <v>349</v>
      </c>
      <c r="F90" s="549" t="str">
        <f>Q90</f>
        <v>661814939742</v>
      </c>
      <c r="G90" s="459"/>
      <c r="H90" s="461" t="str">
        <f>+'INV-PO04774'!E37</f>
        <v>Meteorite Black</v>
      </c>
      <c r="I90" s="331">
        <v>1</v>
      </c>
      <c r="J90" s="331">
        <v>1</v>
      </c>
      <c r="K90" s="342">
        <v>27</v>
      </c>
      <c r="L90" s="343">
        <v>10.42</v>
      </c>
      <c r="M90" s="343">
        <v>11.14</v>
      </c>
      <c r="N90" s="538" t="s">
        <v>258</v>
      </c>
      <c r="O90" s="322">
        <v>2</v>
      </c>
      <c r="P90" s="323">
        <v>285</v>
      </c>
      <c r="Q90" s="542" t="s">
        <v>440</v>
      </c>
      <c r="R90" s="543" t="s">
        <v>79</v>
      </c>
      <c r="S90" s="315"/>
      <c r="T90" s="321"/>
      <c r="U90" s="321"/>
      <c r="Z90" s="324"/>
    </row>
    <row r="91" spans="1:38" s="319" customFormat="1" ht="19.149999999999999" customHeight="1">
      <c r="A91" s="433"/>
      <c r="B91" s="326"/>
      <c r="C91" s="328"/>
      <c r="D91" s="339"/>
      <c r="E91" s="416" t="s">
        <v>324</v>
      </c>
      <c r="F91" s="550" t="str">
        <f>Q91</f>
        <v>661814939766</v>
      </c>
      <c r="G91" s="459"/>
      <c r="H91" s="461"/>
      <c r="I91" s="331"/>
      <c r="J91" s="331">
        <v>5</v>
      </c>
      <c r="K91" s="342"/>
      <c r="L91" s="343"/>
      <c r="M91" s="343"/>
      <c r="N91" s="442"/>
      <c r="O91" s="322">
        <v>4</v>
      </c>
      <c r="P91" s="323">
        <v>288</v>
      </c>
      <c r="Q91" s="542" t="s">
        <v>438</v>
      </c>
      <c r="R91" s="543" t="s">
        <v>80</v>
      </c>
      <c r="S91" s="315"/>
      <c r="T91" s="321"/>
      <c r="U91" s="321"/>
      <c r="Z91" s="324"/>
    </row>
    <row r="92" spans="1:38" s="319" customFormat="1" ht="19.149999999999999" customHeight="1">
      <c r="A92" s="433"/>
      <c r="B92" s="326"/>
      <c r="C92" s="328"/>
      <c r="D92" s="339"/>
      <c r="E92" s="416" t="s">
        <v>325</v>
      </c>
      <c r="F92" s="550" t="str">
        <f>Q92</f>
        <v>661814939773</v>
      </c>
      <c r="G92" s="459"/>
      <c r="H92" s="461"/>
      <c r="I92" s="331"/>
      <c r="J92" s="331">
        <v>10</v>
      </c>
      <c r="K92" s="342"/>
      <c r="L92" s="343"/>
      <c r="M92" s="343"/>
      <c r="N92" s="442"/>
      <c r="O92" s="322">
        <v>6</v>
      </c>
      <c r="P92" s="323">
        <v>292</v>
      </c>
      <c r="Q92" s="542" t="s">
        <v>437</v>
      </c>
      <c r="R92" s="543" t="s">
        <v>81</v>
      </c>
      <c r="S92" s="315"/>
      <c r="T92" s="321"/>
      <c r="U92" s="321"/>
      <c r="Z92" s="324"/>
    </row>
    <row r="93" spans="1:38" s="319" customFormat="1" ht="19.149999999999999" customHeight="1">
      <c r="A93" s="433"/>
      <c r="B93" s="326"/>
      <c r="C93" s="328"/>
      <c r="D93" s="339"/>
      <c r="E93" s="416" t="s">
        <v>326</v>
      </c>
      <c r="F93" s="550" t="str">
        <f>Q93</f>
        <v>661814939780</v>
      </c>
      <c r="G93" s="459"/>
      <c r="H93" s="461"/>
      <c r="I93" s="331"/>
      <c r="J93" s="331">
        <v>7</v>
      </c>
      <c r="K93" s="342"/>
      <c r="L93" s="343"/>
      <c r="M93" s="343"/>
      <c r="N93" s="442"/>
      <c r="O93" s="322">
        <v>8</v>
      </c>
      <c r="P93" s="323">
        <v>296</v>
      </c>
      <c r="Q93" s="542" t="s">
        <v>436</v>
      </c>
      <c r="R93" s="543" t="s">
        <v>82</v>
      </c>
      <c r="S93" s="315"/>
      <c r="T93" s="321"/>
      <c r="U93" s="321"/>
      <c r="Z93" s="324"/>
    </row>
    <row r="94" spans="1:38" s="319" customFormat="1" ht="19.149999999999999" customHeight="1" thickBot="1">
      <c r="A94" s="476"/>
      <c r="B94" s="488"/>
      <c r="C94" s="478"/>
      <c r="D94" s="518"/>
      <c r="E94" s="519" t="s">
        <v>327</v>
      </c>
      <c r="F94" s="551" t="str">
        <f>Q94</f>
        <v>661814939759</v>
      </c>
      <c r="G94" s="520"/>
      <c r="H94" s="521"/>
      <c r="I94" s="482"/>
      <c r="J94" s="482">
        <v>4</v>
      </c>
      <c r="K94" s="482"/>
      <c r="L94" s="483"/>
      <c r="M94" s="483"/>
      <c r="N94" s="484"/>
      <c r="O94" s="322">
        <v>10</v>
      </c>
      <c r="P94" s="323">
        <v>307</v>
      </c>
      <c r="Q94" s="542" t="s">
        <v>439</v>
      </c>
      <c r="R94" s="543" t="s">
        <v>83</v>
      </c>
      <c r="S94" s="315"/>
      <c r="T94" s="321"/>
      <c r="U94" s="321"/>
      <c r="Z94" s="324"/>
    </row>
    <row r="95" spans="1:38" s="319" customFormat="1" ht="19.149999999999999" customHeight="1">
      <c r="A95" s="470">
        <v>1</v>
      </c>
      <c r="B95" s="334" t="s">
        <v>63</v>
      </c>
      <c r="C95" s="471">
        <f>+A95+I95-1</f>
        <v>1</v>
      </c>
      <c r="D95" s="472" t="str">
        <f>K6</f>
        <v>PO04774</v>
      </c>
      <c r="E95" s="512" t="s">
        <v>328</v>
      </c>
      <c r="F95" s="513">
        <v>661814824833</v>
      </c>
      <c r="G95" s="514" t="str">
        <f>+'INV-PO04774'!D32</f>
        <v>W Breton Pant</v>
      </c>
      <c r="H95" s="514" t="str">
        <f>+'INV-PO04774'!E38</f>
        <v>Meteorite Black</v>
      </c>
      <c r="I95" s="443">
        <v>1</v>
      </c>
      <c r="J95" s="515">
        <v>15</v>
      </c>
      <c r="K95" s="516">
        <v>46</v>
      </c>
      <c r="L95" s="517">
        <v>19.100000000000001</v>
      </c>
      <c r="M95" s="517">
        <v>19.82</v>
      </c>
      <c r="N95" s="537" t="s">
        <v>258</v>
      </c>
      <c r="O95" s="322">
        <v>2</v>
      </c>
      <c r="P95" s="323">
        <v>285</v>
      </c>
      <c r="Q95" s="319" t="s">
        <v>441</v>
      </c>
      <c r="R95" s="319" t="s">
        <v>82</v>
      </c>
      <c r="S95" s="315"/>
      <c r="T95" s="321"/>
      <c r="U95" s="321"/>
      <c r="Z95" s="324"/>
    </row>
    <row r="96" spans="1:38" s="319" customFormat="1" ht="19.149999999999999" customHeight="1">
      <c r="A96" s="433"/>
      <c r="B96" s="326"/>
      <c r="C96" s="328"/>
      <c r="D96" s="441"/>
      <c r="E96" s="411" t="s">
        <v>329</v>
      </c>
      <c r="F96" s="412">
        <v>661814824819</v>
      </c>
      <c r="G96" s="456"/>
      <c r="H96" s="456"/>
      <c r="I96" s="331"/>
      <c r="J96" s="447">
        <v>15</v>
      </c>
      <c r="K96" s="451"/>
      <c r="L96" s="452"/>
      <c r="M96" s="452"/>
      <c r="N96" s="453"/>
      <c r="O96" s="322">
        <v>4</v>
      </c>
      <c r="P96" s="323">
        <v>288</v>
      </c>
      <c r="Q96" s="319" t="s">
        <v>442</v>
      </c>
      <c r="R96" s="319" t="s">
        <v>81</v>
      </c>
      <c r="S96" s="315"/>
      <c r="T96" s="321"/>
      <c r="U96" s="321"/>
      <c r="Z96" s="324"/>
    </row>
    <row r="97" spans="1:26" s="319" customFormat="1" ht="19.149999999999999" customHeight="1">
      <c r="A97" s="433"/>
      <c r="B97" s="326"/>
      <c r="C97" s="328"/>
      <c r="D97" s="441"/>
      <c r="E97" s="411" t="s">
        <v>330</v>
      </c>
      <c r="F97" s="412">
        <v>661814824796</v>
      </c>
      <c r="G97" s="456"/>
      <c r="H97" s="456"/>
      <c r="I97" s="331"/>
      <c r="J97" s="447">
        <v>5</v>
      </c>
      <c r="K97" s="451"/>
      <c r="L97" s="452"/>
      <c r="M97" s="452"/>
      <c r="N97" s="453"/>
      <c r="O97" s="322">
        <v>6</v>
      </c>
      <c r="P97" s="323">
        <v>292</v>
      </c>
      <c r="Q97" s="319" t="s">
        <v>443</v>
      </c>
      <c r="R97" s="319" t="s">
        <v>80</v>
      </c>
      <c r="S97" s="315"/>
      <c r="T97" s="321"/>
      <c r="U97" s="321"/>
      <c r="Z97" s="324"/>
    </row>
    <row r="98" spans="1:26" s="319" customFormat="1" ht="19.149999999999999" customHeight="1">
      <c r="A98" s="436"/>
      <c r="B98" s="326"/>
      <c r="C98" s="375"/>
      <c r="D98" s="441"/>
      <c r="E98" s="411" t="s">
        <v>331</v>
      </c>
      <c r="F98" s="412">
        <v>661814824772</v>
      </c>
      <c r="G98" s="456"/>
      <c r="H98" s="456"/>
      <c r="I98" s="331"/>
      <c r="J98" s="447">
        <v>8</v>
      </c>
      <c r="K98" s="451"/>
      <c r="L98" s="452"/>
      <c r="M98" s="452"/>
      <c r="N98" s="453"/>
      <c r="O98" s="322">
        <v>8</v>
      </c>
      <c r="P98" s="323">
        <v>296</v>
      </c>
      <c r="Q98" s="319" t="s">
        <v>444</v>
      </c>
      <c r="R98" s="319" t="s">
        <v>83</v>
      </c>
      <c r="S98" s="315"/>
      <c r="T98" s="321"/>
      <c r="U98" s="321"/>
      <c r="Z98" s="324"/>
    </row>
    <row r="99" spans="1:26" s="319" customFormat="1" ht="19.149999999999999" customHeight="1" thickBot="1">
      <c r="A99" s="526"/>
      <c r="B99" s="488"/>
      <c r="C99" s="527"/>
      <c r="D99" s="479"/>
      <c r="E99" s="528" t="s">
        <v>332</v>
      </c>
      <c r="F99" s="529">
        <v>661814824758</v>
      </c>
      <c r="G99" s="530"/>
      <c r="H99" s="530"/>
      <c r="I99" s="482"/>
      <c r="J99" s="531">
        <v>3</v>
      </c>
      <c r="K99" s="532"/>
      <c r="L99" s="533"/>
      <c r="M99" s="533"/>
      <c r="N99" s="534"/>
      <c r="O99" s="322">
        <v>10</v>
      </c>
      <c r="P99" s="323">
        <v>307</v>
      </c>
      <c r="Q99" s="319" t="s">
        <v>445</v>
      </c>
      <c r="R99" s="319" t="s">
        <v>84</v>
      </c>
      <c r="S99" s="315"/>
      <c r="T99" s="321"/>
      <c r="U99" s="321"/>
      <c r="Z99" s="324"/>
    </row>
    <row r="100" spans="1:26" s="319" customFormat="1" ht="36.75" customHeight="1">
      <c r="A100" s="470">
        <v>1</v>
      </c>
      <c r="B100" s="334" t="s">
        <v>63</v>
      </c>
      <c r="C100" s="471">
        <f>+A100+I100-1</f>
        <v>1</v>
      </c>
      <c r="D100" s="472" t="str">
        <f>D21</f>
        <v>PO04774</v>
      </c>
      <c r="E100" s="522" t="s">
        <v>333</v>
      </c>
      <c r="F100" s="523">
        <v>661814888989</v>
      </c>
      <c r="G100" s="524" t="str">
        <f>+'INV-PO04774'!D39</f>
        <v>W Yaletown Skirt</v>
      </c>
      <c r="H100" s="525" t="str">
        <f>+'INV-PO04774'!E39</f>
        <v>Meteorite Black/Meadowland Ditsy</v>
      </c>
      <c r="I100" s="443">
        <v>1</v>
      </c>
      <c r="J100" s="515">
        <v>8</v>
      </c>
      <c r="K100" s="516">
        <f>J100+J101+J102</f>
        <v>80</v>
      </c>
      <c r="L100" s="517">
        <f>150*J100/1000+170*J101/1000+190*J102/1000</f>
        <v>14.18</v>
      </c>
      <c r="M100" s="517">
        <f>1.65+L100</f>
        <v>15.83</v>
      </c>
      <c r="N100" s="537" t="s">
        <v>258</v>
      </c>
      <c r="O100" s="322">
        <v>2</v>
      </c>
      <c r="P100" s="323">
        <v>285</v>
      </c>
      <c r="Q100" s="542" t="s">
        <v>450</v>
      </c>
      <c r="R100" s="543" t="s">
        <v>79</v>
      </c>
      <c r="S100" s="315"/>
      <c r="T100" s="321"/>
      <c r="U100" s="321"/>
      <c r="Z100" s="324"/>
    </row>
    <row r="101" spans="1:26" s="319" customFormat="1" ht="19.149999999999999" customHeight="1">
      <c r="A101" s="433"/>
      <c r="B101" s="326"/>
      <c r="C101" s="328"/>
      <c r="D101" s="441"/>
      <c r="E101" s="417" t="s">
        <v>334</v>
      </c>
      <c r="F101" s="418">
        <v>661814889023</v>
      </c>
      <c r="G101" s="462"/>
      <c r="H101" s="462"/>
      <c r="I101" s="331"/>
      <c r="J101" s="447">
        <v>35</v>
      </c>
      <c r="K101" s="451"/>
      <c r="L101" s="452"/>
      <c r="M101" s="452"/>
      <c r="N101" s="453"/>
      <c r="O101" s="322">
        <v>4</v>
      </c>
      <c r="P101" s="323">
        <v>288</v>
      </c>
      <c r="Q101" s="542" t="s">
        <v>448</v>
      </c>
      <c r="R101" s="543" t="s">
        <v>80</v>
      </c>
      <c r="S101" s="315"/>
      <c r="T101" s="321"/>
      <c r="U101" s="321"/>
      <c r="Z101" s="324"/>
    </row>
    <row r="102" spans="1:26" s="319" customFormat="1" ht="19.149999999999999" customHeight="1">
      <c r="A102" s="433"/>
      <c r="B102" s="326"/>
      <c r="C102" s="328"/>
      <c r="D102" s="441"/>
      <c r="E102" s="417" t="s">
        <v>335</v>
      </c>
      <c r="F102" s="418">
        <v>661814889047</v>
      </c>
      <c r="G102" s="462"/>
      <c r="H102" s="462"/>
      <c r="I102" s="331"/>
      <c r="J102" s="447">
        <v>37</v>
      </c>
      <c r="K102" s="451"/>
      <c r="L102" s="452"/>
      <c r="M102" s="452"/>
      <c r="N102" s="453"/>
      <c r="O102" s="322">
        <v>6</v>
      </c>
      <c r="P102" s="323">
        <v>292</v>
      </c>
      <c r="Q102" s="542" t="s">
        <v>447</v>
      </c>
      <c r="R102" s="543" t="s">
        <v>81</v>
      </c>
      <c r="S102" s="315"/>
      <c r="T102" s="321"/>
      <c r="U102" s="321"/>
      <c r="Z102" s="324"/>
    </row>
    <row r="103" spans="1:26" s="319" customFormat="1" ht="19.149999999999999" customHeight="1">
      <c r="A103" s="433">
        <f>A100+I100</f>
        <v>2</v>
      </c>
      <c r="B103" s="326" t="s">
        <v>63</v>
      </c>
      <c r="C103" s="328">
        <f>+A103+I103-1</f>
        <v>2</v>
      </c>
      <c r="D103" s="441"/>
      <c r="E103" s="417" t="s">
        <v>335</v>
      </c>
      <c r="F103" s="418">
        <v>661814889047</v>
      </c>
      <c r="G103" s="462"/>
      <c r="H103" s="462"/>
      <c r="I103" s="331">
        <v>1</v>
      </c>
      <c r="J103" s="447">
        <v>16</v>
      </c>
      <c r="K103" s="451">
        <f>J103+J104+J105</f>
        <v>69</v>
      </c>
      <c r="L103" s="452">
        <f>190*J103/1000+210*J104/1000+230*J105/1000</f>
        <v>14.51</v>
      </c>
      <c r="M103" s="452">
        <f>1.65+L103</f>
        <v>16.16</v>
      </c>
      <c r="N103" s="453"/>
      <c r="O103" s="322">
        <v>8</v>
      </c>
      <c r="P103" s="323">
        <v>296</v>
      </c>
      <c r="Q103" s="542" t="s">
        <v>447</v>
      </c>
      <c r="R103" s="543" t="s">
        <v>81</v>
      </c>
      <c r="S103" s="315"/>
      <c r="T103" s="321"/>
      <c r="U103" s="321"/>
      <c r="Z103" s="324"/>
    </row>
    <row r="104" spans="1:26" s="319" customFormat="1" ht="19.149999999999999" customHeight="1">
      <c r="A104" s="433"/>
      <c r="B104" s="326"/>
      <c r="C104" s="328"/>
      <c r="D104" s="441"/>
      <c r="E104" s="417" t="s">
        <v>336</v>
      </c>
      <c r="F104" s="418">
        <v>661814889061</v>
      </c>
      <c r="G104" s="462"/>
      <c r="H104" s="462"/>
      <c r="I104" s="331"/>
      <c r="J104" s="447">
        <v>36</v>
      </c>
      <c r="K104" s="451"/>
      <c r="L104" s="452"/>
      <c r="M104" s="452"/>
      <c r="N104" s="453"/>
      <c r="O104" s="322">
        <v>10</v>
      </c>
      <c r="P104" s="323">
        <v>307</v>
      </c>
      <c r="Q104" s="542" t="s">
        <v>446</v>
      </c>
      <c r="R104" s="543" t="s">
        <v>82</v>
      </c>
      <c r="S104" s="315"/>
      <c r="T104" s="321"/>
      <c r="U104" s="321"/>
      <c r="Z104" s="324"/>
    </row>
    <row r="105" spans="1:26" s="319" customFormat="1" ht="19.149999999999999" customHeight="1">
      <c r="A105" s="433"/>
      <c r="B105" s="326"/>
      <c r="C105" s="328"/>
      <c r="D105" s="441"/>
      <c r="E105" s="417" t="s">
        <v>337</v>
      </c>
      <c r="F105" s="418">
        <v>661814889009</v>
      </c>
      <c r="G105" s="462"/>
      <c r="H105" s="462"/>
      <c r="I105" s="331"/>
      <c r="J105" s="447">
        <v>17</v>
      </c>
      <c r="K105" s="451"/>
      <c r="L105" s="452"/>
      <c r="M105" s="452"/>
      <c r="N105" s="453"/>
      <c r="O105" s="322">
        <v>12</v>
      </c>
      <c r="P105" s="323">
        <v>312</v>
      </c>
      <c r="Q105" s="542" t="s">
        <v>449</v>
      </c>
      <c r="R105" s="543" t="s">
        <v>83</v>
      </c>
      <c r="S105" s="315"/>
      <c r="T105" s="321"/>
      <c r="U105" s="321"/>
      <c r="Z105" s="324"/>
    </row>
    <row r="106" spans="1:26" s="319" customFormat="1" ht="15.75" customHeight="1" thickBot="1">
      <c r="A106" s="437"/>
      <c r="B106" s="344"/>
      <c r="C106" s="344"/>
      <c r="D106" s="344"/>
      <c r="E106" s="345"/>
      <c r="F106" s="346"/>
      <c r="G106" s="346"/>
      <c r="H106" s="346"/>
      <c r="I106" s="346"/>
      <c r="J106" s="346"/>
      <c r="K106" s="448"/>
      <c r="L106" s="449"/>
      <c r="M106" s="449"/>
      <c r="N106" s="450"/>
      <c r="O106" s="325"/>
      <c r="P106" s="324"/>
      <c r="S106" s="315"/>
      <c r="T106" s="321"/>
      <c r="U106" s="321"/>
      <c r="Z106" s="324"/>
    </row>
    <row r="107" spans="1:26" s="319" customFormat="1" ht="15.75" customHeight="1" thickTop="1" thickBot="1">
      <c r="A107" s="629" t="s">
        <v>338</v>
      </c>
      <c r="B107" s="630"/>
      <c r="C107" s="630"/>
      <c r="D107" s="630"/>
      <c r="E107" s="630"/>
      <c r="F107" s="630"/>
      <c r="G107" s="630"/>
      <c r="H107" s="630"/>
      <c r="I107" s="468">
        <f>SUM(I21:I105)</f>
        <v>19</v>
      </c>
      <c r="J107" s="468"/>
      <c r="K107" s="468">
        <f>SUM(K100:K105)</f>
        <v>149</v>
      </c>
      <c r="L107" s="469">
        <f>SUM(L21:L106)</f>
        <v>259.76799999999997</v>
      </c>
      <c r="M107" s="469">
        <f>SUM(M21:M106)</f>
        <v>288.32799999999997</v>
      </c>
      <c r="N107" s="541">
        <f>P109</f>
        <v>1.5311999999999999</v>
      </c>
      <c r="O107" s="325"/>
      <c r="P107" s="535">
        <f>80*44*25/1000000*15</f>
        <v>1.3199999999999998</v>
      </c>
      <c r="S107" s="315"/>
      <c r="T107" s="321"/>
      <c r="U107" s="321"/>
      <c r="Z107" s="324"/>
    </row>
    <row r="108" spans="1:26" ht="14.45" customHeight="1">
      <c r="A108" s="438"/>
      <c r="B108" s="377"/>
      <c r="C108" s="377"/>
      <c r="D108" s="377"/>
      <c r="E108" s="377"/>
      <c r="F108" s="377"/>
      <c r="G108" s="376"/>
      <c r="H108" s="376"/>
      <c r="I108" s="378"/>
      <c r="J108" s="378"/>
      <c r="K108" s="376"/>
      <c r="L108" s="379"/>
      <c r="M108" s="376"/>
      <c r="N108" s="439"/>
      <c r="P108" s="535">
        <f>80*44*15/1000000*4</f>
        <v>0.2112</v>
      </c>
      <c r="Q108" s="545"/>
      <c r="R108" s="545"/>
    </row>
    <row r="109" spans="1:26" s="380" customFormat="1" ht="15.75" customHeight="1">
      <c r="A109" s="631" t="s">
        <v>74</v>
      </c>
      <c r="B109" s="632"/>
      <c r="C109" s="632"/>
      <c r="D109" s="632"/>
      <c r="E109" s="463" t="s">
        <v>79</v>
      </c>
      <c r="F109" s="463" t="s">
        <v>80</v>
      </c>
      <c r="G109" s="463" t="s">
        <v>81</v>
      </c>
      <c r="H109" s="463" t="s">
        <v>82</v>
      </c>
      <c r="I109" s="463" t="s">
        <v>83</v>
      </c>
      <c r="J109" s="463" t="s">
        <v>84</v>
      </c>
      <c r="K109" s="463" t="s">
        <v>203</v>
      </c>
      <c r="L109" s="463" t="s">
        <v>75</v>
      </c>
      <c r="M109" s="464" t="s">
        <v>76</v>
      </c>
      <c r="N109" s="633" t="s">
        <v>73</v>
      </c>
      <c r="P109" s="536">
        <f>P107+P108</f>
        <v>1.5311999999999999</v>
      </c>
      <c r="Q109" s="546"/>
      <c r="R109" s="546"/>
    </row>
    <row r="110" spans="1:26" s="380" customFormat="1" ht="15.75" customHeight="1">
      <c r="A110" s="631" t="s">
        <v>77</v>
      </c>
      <c r="B110" s="632"/>
      <c r="C110" s="632"/>
      <c r="D110" s="634" t="s">
        <v>78</v>
      </c>
      <c r="E110" s="463">
        <v>2</v>
      </c>
      <c r="F110" s="463">
        <v>4</v>
      </c>
      <c r="G110" s="463">
        <v>6</v>
      </c>
      <c r="H110" s="463">
        <v>8</v>
      </c>
      <c r="I110" s="463">
        <v>10</v>
      </c>
      <c r="J110" s="463">
        <v>12</v>
      </c>
      <c r="K110" s="463">
        <v>14</v>
      </c>
      <c r="L110" s="463">
        <v>16</v>
      </c>
      <c r="M110" s="464"/>
      <c r="N110" s="633"/>
      <c r="Q110" s="546"/>
      <c r="R110" s="546"/>
    </row>
    <row r="111" spans="1:26" s="380" customFormat="1" ht="15.75" customHeight="1">
      <c r="A111" s="631"/>
      <c r="B111" s="632"/>
      <c r="C111" s="632"/>
      <c r="D111" s="634"/>
      <c r="E111" s="463">
        <v>30</v>
      </c>
      <c r="F111" s="463">
        <v>31</v>
      </c>
      <c r="G111" s="463">
        <v>32</v>
      </c>
      <c r="H111" s="463">
        <v>33</v>
      </c>
      <c r="I111" s="463">
        <v>34</v>
      </c>
      <c r="J111" s="463">
        <v>36</v>
      </c>
      <c r="K111" s="463">
        <v>38</v>
      </c>
      <c r="L111" s="463">
        <v>40</v>
      </c>
      <c r="M111" s="464"/>
      <c r="N111" s="633"/>
      <c r="Q111" s="546"/>
      <c r="R111" s="546"/>
    </row>
    <row r="112" spans="1:26" s="380" customFormat="1" ht="16.5" customHeight="1">
      <c r="A112" s="615" t="str">
        <f>+'INV-PO04774'!B28</f>
        <v>TCW6649-6303</v>
      </c>
      <c r="B112" s="616"/>
      <c r="C112" s="616"/>
      <c r="D112" s="419" t="str">
        <f>H21</f>
        <v>Ashwood</v>
      </c>
      <c r="E112" s="381">
        <v>1</v>
      </c>
      <c r="F112" s="381">
        <v>6</v>
      </c>
      <c r="G112" s="382">
        <v>5</v>
      </c>
      <c r="H112" s="381">
        <v>12</v>
      </c>
      <c r="I112" s="381">
        <v>9</v>
      </c>
      <c r="J112" s="383">
        <v>4</v>
      </c>
      <c r="K112" s="384">
        <v>2</v>
      </c>
      <c r="L112" s="384">
        <v>1</v>
      </c>
      <c r="M112" s="384"/>
      <c r="N112" s="440">
        <f t="shared" ref="N112:N123" si="0">SUM(E112:M112)</f>
        <v>40</v>
      </c>
      <c r="Q112" s="546"/>
      <c r="R112" s="546"/>
    </row>
    <row r="113" spans="1:18" s="380" customFormat="1" ht="16.5" customHeight="1">
      <c r="A113" s="615" t="str">
        <f>+'INV-PO04774'!B29</f>
        <v>TCW6649-0164</v>
      </c>
      <c r="B113" s="616"/>
      <c r="C113" s="616"/>
      <c r="D113" s="420" t="str">
        <f>H29</f>
        <v>Meteorite Black</v>
      </c>
      <c r="E113" s="385">
        <v>2</v>
      </c>
      <c r="F113" s="386">
        <v>8</v>
      </c>
      <c r="G113" s="385">
        <v>5</v>
      </c>
      <c r="H113" s="385">
        <v>15</v>
      </c>
      <c r="I113" s="385">
        <v>10</v>
      </c>
      <c r="J113" s="385">
        <v>4</v>
      </c>
      <c r="K113" s="387">
        <v>3</v>
      </c>
      <c r="L113" s="387">
        <v>2</v>
      </c>
      <c r="M113" s="387"/>
      <c r="N113" s="440">
        <f t="shared" si="0"/>
        <v>49</v>
      </c>
      <c r="Q113" s="546"/>
      <c r="R113" s="546"/>
    </row>
    <row r="114" spans="1:18" s="380" customFormat="1" ht="16.5" customHeight="1">
      <c r="A114" s="617" t="str">
        <f>+'INV-PO04774'!B30</f>
        <v>TCM6684-6303</v>
      </c>
      <c r="B114" s="618"/>
      <c r="C114" s="618"/>
      <c r="D114" s="422" t="str">
        <f>H37</f>
        <v>Ashwood</v>
      </c>
      <c r="E114" s="385">
        <v>4</v>
      </c>
      <c r="F114" s="385">
        <v>8</v>
      </c>
      <c r="G114" s="386">
        <v>5</v>
      </c>
      <c r="H114" s="385">
        <v>12</v>
      </c>
      <c r="I114" s="385">
        <v>10</v>
      </c>
      <c r="J114" s="385">
        <v>2</v>
      </c>
      <c r="K114" s="385">
        <v>3</v>
      </c>
      <c r="L114" s="387">
        <v>6</v>
      </c>
      <c r="M114" s="387"/>
      <c r="N114" s="440">
        <f t="shared" si="0"/>
        <v>50</v>
      </c>
      <c r="Q114" s="546"/>
      <c r="R114" s="546"/>
    </row>
    <row r="115" spans="1:18" s="380" customFormat="1" ht="16.5" customHeight="1">
      <c r="A115" s="617" t="str">
        <f>+'INV-PO04774'!B31</f>
        <v>TCM6684-0164</v>
      </c>
      <c r="B115" s="618"/>
      <c r="C115" s="618"/>
      <c r="D115" s="423" t="str">
        <f>H45</f>
        <v>Meteorite Black</v>
      </c>
      <c r="E115" s="388">
        <v>3</v>
      </c>
      <c r="F115" s="388">
        <v>8</v>
      </c>
      <c r="G115" s="388">
        <v>3</v>
      </c>
      <c r="H115" s="388">
        <v>12</v>
      </c>
      <c r="I115" s="388">
        <v>8</v>
      </c>
      <c r="J115" s="388">
        <v>3</v>
      </c>
      <c r="K115" s="388">
        <v>3</v>
      </c>
      <c r="L115" s="387">
        <v>2</v>
      </c>
      <c r="M115" s="387"/>
      <c r="N115" s="440">
        <f t="shared" si="0"/>
        <v>42</v>
      </c>
      <c r="Q115" s="546"/>
      <c r="R115" s="546"/>
    </row>
    <row r="116" spans="1:18" s="380" customFormat="1" ht="16.5" customHeight="1">
      <c r="A116" s="619" t="str">
        <f>+'INV-PO04774'!B32</f>
        <v>TCW6648-6303</v>
      </c>
      <c r="B116" s="620"/>
      <c r="C116" s="620"/>
      <c r="D116" s="424" t="str">
        <f>H53</f>
        <v>Ashwood</v>
      </c>
      <c r="E116" s="388">
        <v>3</v>
      </c>
      <c r="F116" s="388">
        <v>11</v>
      </c>
      <c r="G116" s="388">
        <v>10</v>
      </c>
      <c r="H116" s="388">
        <v>22</v>
      </c>
      <c r="I116" s="388">
        <v>17</v>
      </c>
      <c r="J116" s="388">
        <v>8</v>
      </c>
      <c r="K116" s="388">
        <v>5</v>
      </c>
      <c r="L116" s="387">
        <v>3</v>
      </c>
      <c r="M116" s="387"/>
      <c r="N116" s="440">
        <f t="shared" si="0"/>
        <v>79</v>
      </c>
      <c r="Q116" s="546"/>
      <c r="R116" s="546"/>
    </row>
    <row r="117" spans="1:18" s="380" customFormat="1" ht="16.5" customHeight="1">
      <c r="A117" s="619" t="str">
        <f>+'INV-PO04774'!B33</f>
        <v>TCW6648-0164</v>
      </c>
      <c r="B117" s="620"/>
      <c r="C117" s="620"/>
      <c r="D117" s="425" t="str">
        <f>H61</f>
        <v>Meteorite Black</v>
      </c>
      <c r="E117" s="388">
        <v>3</v>
      </c>
      <c r="F117" s="388">
        <v>10</v>
      </c>
      <c r="G117" s="388">
        <v>10</v>
      </c>
      <c r="H117" s="388">
        <v>21</v>
      </c>
      <c r="I117" s="388">
        <v>16</v>
      </c>
      <c r="J117" s="388">
        <v>7</v>
      </c>
      <c r="K117" s="388">
        <v>5</v>
      </c>
      <c r="L117" s="387">
        <v>3</v>
      </c>
      <c r="M117" s="387"/>
      <c r="N117" s="440">
        <f t="shared" si="0"/>
        <v>75</v>
      </c>
      <c r="Q117" s="546"/>
      <c r="R117" s="546"/>
    </row>
    <row r="118" spans="1:18" s="380" customFormat="1" ht="16.5" customHeight="1">
      <c r="A118" s="621" t="str">
        <f>+'INV-PO04774'!B34</f>
        <v>TCM6685-0164</v>
      </c>
      <c r="B118" s="622"/>
      <c r="C118" s="622"/>
      <c r="D118" s="427" t="str">
        <f>H69</f>
        <v>Meteorite Black</v>
      </c>
      <c r="E118" s="388">
        <v>4</v>
      </c>
      <c r="F118" s="388">
        <v>4</v>
      </c>
      <c r="G118" s="388">
        <v>8</v>
      </c>
      <c r="H118" s="388">
        <v>7</v>
      </c>
      <c r="I118" s="388">
        <v>9</v>
      </c>
      <c r="J118" s="388">
        <v>10</v>
      </c>
      <c r="K118" s="388">
        <v>3</v>
      </c>
      <c r="L118" s="387">
        <v>2</v>
      </c>
      <c r="M118" s="387"/>
      <c r="N118" s="440">
        <f t="shared" si="0"/>
        <v>47</v>
      </c>
      <c r="Q118" s="546"/>
      <c r="R118" s="546"/>
    </row>
    <row r="119" spans="1:18" s="380" customFormat="1" ht="16.5" customHeight="1">
      <c r="A119" s="621" t="str">
        <f>+'INV-PO04774'!B35</f>
        <v>TCM6685-6289</v>
      </c>
      <c r="B119" s="622"/>
      <c r="C119" s="622"/>
      <c r="D119" s="426" t="str">
        <f>H77</f>
        <v>Cedar Bark</v>
      </c>
      <c r="E119" s="388">
        <v>3</v>
      </c>
      <c r="F119" s="388">
        <v>3</v>
      </c>
      <c r="G119" s="388">
        <v>6</v>
      </c>
      <c r="H119" s="388">
        <v>5</v>
      </c>
      <c r="I119" s="388">
        <v>7</v>
      </c>
      <c r="J119" s="388">
        <v>8</v>
      </c>
      <c r="K119" s="388">
        <v>2</v>
      </c>
      <c r="L119" s="387">
        <v>1</v>
      </c>
      <c r="M119" s="387"/>
      <c r="N119" s="440">
        <f t="shared" si="0"/>
        <v>35</v>
      </c>
      <c r="Q119" s="546"/>
      <c r="R119" s="546"/>
    </row>
    <row r="120" spans="1:18" s="380" customFormat="1" ht="16.5" customHeight="1">
      <c r="A120" s="623" t="str">
        <f>+'INV-PO04774'!B36</f>
        <v>TCW7113-6303</v>
      </c>
      <c r="B120" s="624"/>
      <c r="C120" s="624"/>
      <c r="D120" s="428" t="str">
        <f>H85</f>
        <v>Ashwood</v>
      </c>
      <c r="E120" s="388">
        <v>2</v>
      </c>
      <c r="F120" s="388">
        <v>8</v>
      </c>
      <c r="G120" s="388">
        <v>15</v>
      </c>
      <c r="H120" s="388">
        <v>10</v>
      </c>
      <c r="I120" s="388">
        <v>6</v>
      </c>
      <c r="J120" s="388"/>
      <c r="K120" s="388"/>
      <c r="L120" s="387"/>
      <c r="M120" s="387"/>
      <c r="N120" s="440">
        <f t="shared" si="0"/>
        <v>41</v>
      </c>
      <c r="Q120" s="546"/>
      <c r="R120" s="546"/>
    </row>
    <row r="121" spans="1:18" s="380" customFormat="1" ht="16.5" customHeight="1">
      <c r="A121" s="625" t="str">
        <f>+'INV-PO04774'!B37</f>
        <v>TCW7113-0164</v>
      </c>
      <c r="B121" s="626"/>
      <c r="C121" s="626"/>
      <c r="D121" s="429" t="str">
        <f>H90</f>
        <v>Meteorite Black</v>
      </c>
      <c r="E121" s="385">
        <v>1</v>
      </c>
      <c r="F121" s="385">
        <v>5</v>
      </c>
      <c r="G121" s="386">
        <v>10</v>
      </c>
      <c r="H121" s="385">
        <v>7</v>
      </c>
      <c r="I121" s="385">
        <v>4</v>
      </c>
      <c r="J121" s="385"/>
      <c r="K121" s="385"/>
      <c r="L121" s="387"/>
      <c r="M121" s="387"/>
      <c r="N121" s="440">
        <f t="shared" si="0"/>
        <v>27</v>
      </c>
      <c r="Q121" s="546"/>
      <c r="R121" s="546"/>
    </row>
    <row r="122" spans="1:18" s="380" customFormat="1" ht="16.5" customHeight="1">
      <c r="A122" s="627" t="str">
        <f>+'INV-PO04774'!B38</f>
        <v>TCM6797-0164</v>
      </c>
      <c r="B122" s="628"/>
      <c r="C122" s="628"/>
      <c r="D122" s="430" t="str">
        <f>H95</f>
        <v>Meteorite Black</v>
      </c>
      <c r="E122" s="389"/>
      <c r="F122" s="389">
        <v>5</v>
      </c>
      <c r="G122" s="388">
        <v>15</v>
      </c>
      <c r="H122" s="389">
        <v>15</v>
      </c>
      <c r="I122" s="389">
        <v>8</v>
      </c>
      <c r="J122" s="389">
        <v>3</v>
      </c>
      <c r="K122" s="385"/>
      <c r="L122" s="387"/>
      <c r="M122" s="387"/>
      <c r="N122" s="440">
        <f t="shared" si="0"/>
        <v>46</v>
      </c>
      <c r="Q122" s="546"/>
      <c r="R122" s="546"/>
    </row>
    <row r="123" spans="1:18" s="380" customFormat="1" ht="48" customHeight="1">
      <c r="A123" s="613" t="str">
        <f>+'INV-PO04774'!B39</f>
        <v>TCW5674-6391</v>
      </c>
      <c r="B123" s="614"/>
      <c r="C123" s="614"/>
      <c r="D123" s="432" t="str">
        <f>H100</f>
        <v>Meteorite Black/Meadowland Ditsy</v>
      </c>
      <c r="E123" s="389">
        <v>8</v>
      </c>
      <c r="F123" s="389">
        <v>35</v>
      </c>
      <c r="G123" s="388">
        <v>53</v>
      </c>
      <c r="H123" s="389">
        <v>36</v>
      </c>
      <c r="I123" s="389">
        <v>17</v>
      </c>
      <c r="J123" s="389"/>
      <c r="K123" s="385"/>
      <c r="L123" s="387"/>
      <c r="M123" s="387"/>
      <c r="N123" s="440">
        <f t="shared" si="0"/>
        <v>149</v>
      </c>
      <c r="Q123" s="546"/>
      <c r="R123" s="546"/>
    </row>
    <row r="124" spans="1:18" s="380" customFormat="1" ht="16.5" customHeight="1" thickBot="1">
      <c r="A124" s="610" t="s">
        <v>339</v>
      </c>
      <c r="B124" s="611"/>
      <c r="C124" s="611"/>
      <c r="D124" s="611"/>
      <c r="E124" s="465">
        <f>SUM(E112:E123)</f>
        <v>34</v>
      </c>
      <c r="F124" s="465">
        <f t="shared" ref="F124:L124" si="1">SUM(F112:F123)</f>
        <v>111</v>
      </c>
      <c r="G124" s="465">
        <f t="shared" si="1"/>
        <v>145</v>
      </c>
      <c r="H124" s="465">
        <f t="shared" si="1"/>
        <v>174</v>
      </c>
      <c r="I124" s="465">
        <f t="shared" si="1"/>
        <v>121</v>
      </c>
      <c r="J124" s="465">
        <f t="shared" si="1"/>
        <v>49</v>
      </c>
      <c r="K124" s="465">
        <f t="shared" si="1"/>
        <v>26</v>
      </c>
      <c r="L124" s="465">
        <f t="shared" si="1"/>
        <v>20</v>
      </c>
      <c r="M124" s="466"/>
      <c r="N124" s="467">
        <f>SUM(E124:M124)</f>
        <v>680</v>
      </c>
      <c r="Q124" s="546"/>
      <c r="R124" s="546"/>
    </row>
    <row r="125" spans="1:18" s="380" customFormat="1" ht="16.5" customHeight="1" thickBot="1">
      <c r="A125" s="390"/>
      <c r="B125" s="391"/>
      <c r="C125" s="391"/>
      <c r="D125" s="391"/>
      <c r="E125" s="391"/>
      <c r="F125" s="391"/>
      <c r="G125" s="391"/>
      <c r="H125" s="391"/>
      <c r="I125" s="391"/>
      <c r="J125" s="390"/>
      <c r="K125" s="392"/>
      <c r="L125" s="393"/>
      <c r="M125" s="393"/>
      <c r="N125" s="394"/>
      <c r="Q125" s="546"/>
      <c r="R125" s="546"/>
    </row>
    <row r="126" spans="1:18" s="398" customFormat="1" ht="15.75" customHeight="1">
      <c r="A126" s="612" t="s">
        <v>85</v>
      </c>
      <c r="B126" s="612"/>
      <c r="C126" s="612"/>
      <c r="D126" s="395">
        <f>N124</f>
        <v>680</v>
      </c>
      <c r="E126" s="396" t="s">
        <v>86</v>
      </c>
      <c r="F126" s="391"/>
      <c r="G126" s="391"/>
      <c r="H126" s="391"/>
      <c r="I126" s="391"/>
      <c r="J126" s="397"/>
      <c r="K126" s="397"/>
      <c r="L126" s="609"/>
      <c r="M126" s="609"/>
      <c r="N126" s="609"/>
      <c r="O126" s="380"/>
      <c r="P126" s="380"/>
      <c r="Q126" s="546"/>
      <c r="R126" s="546"/>
    </row>
    <row r="127" spans="1:18" s="398" customFormat="1" ht="15.75" customHeight="1">
      <c r="A127" s="607" t="s">
        <v>87</v>
      </c>
      <c r="B127" s="607"/>
      <c r="C127" s="607"/>
      <c r="D127" s="399">
        <f>I107</f>
        <v>19</v>
      </c>
      <c r="E127" s="396" t="s">
        <v>88</v>
      </c>
      <c r="F127" s="391"/>
      <c r="G127" s="391"/>
      <c r="H127" s="391"/>
      <c r="I127" s="391"/>
      <c r="J127" s="397"/>
      <c r="K127" s="397"/>
      <c r="L127" s="609"/>
      <c r="M127" s="609"/>
      <c r="N127" s="609"/>
      <c r="O127" s="380"/>
      <c r="P127" s="380"/>
    </row>
    <row r="128" spans="1:18" s="398" customFormat="1" ht="15.75" customHeight="1">
      <c r="A128" s="607" t="s">
        <v>340</v>
      </c>
      <c r="B128" s="607"/>
      <c r="C128" s="607"/>
      <c r="D128" s="400">
        <f>N107</f>
        <v>1.5311999999999999</v>
      </c>
      <c r="E128" s="396" t="s">
        <v>89</v>
      </c>
      <c r="F128" s="391"/>
      <c r="G128" s="391"/>
      <c r="H128" s="391"/>
      <c r="I128" s="391"/>
      <c r="J128" s="397"/>
      <c r="K128" s="397"/>
      <c r="L128" s="401"/>
      <c r="M128" s="401"/>
      <c r="N128" s="397"/>
      <c r="O128" s="380"/>
      <c r="P128" s="380"/>
    </row>
    <row r="129" spans="1:16" s="398" customFormat="1" ht="15.75" customHeight="1">
      <c r="A129" s="607" t="s">
        <v>90</v>
      </c>
      <c r="B129" s="607"/>
      <c r="C129" s="607"/>
      <c r="D129" s="400">
        <f>M107</f>
        <v>288.32799999999997</v>
      </c>
      <c r="E129" s="396" t="s">
        <v>91</v>
      </c>
      <c r="F129" s="391"/>
      <c r="G129" s="391"/>
      <c r="H129" s="391"/>
      <c r="I129" s="391"/>
      <c r="J129" s="397"/>
      <c r="K129" s="397"/>
      <c r="L129" s="401"/>
      <c r="M129" s="401"/>
      <c r="N129" s="397"/>
      <c r="O129" s="380"/>
      <c r="P129" s="380"/>
    </row>
    <row r="130" spans="1:16" s="398" customFormat="1" ht="16.5" customHeight="1" thickBot="1">
      <c r="A130" s="608" t="s">
        <v>92</v>
      </c>
      <c r="B130" s="608"/>
      <c r="C130" s="608"/>
      <c r="D130" s="402">
        <f>L107</f>
        <v>259.76799999999997</v>
      </c>
      <c r="E130" s="396" t="s">
        <v>91</v>
      </c>
      <c r="F130" s="391"/>
      <c r="G130" s="391"/>
      <c r="H130" s="391"/>
      <c r="I130" s="391"/>
      <c r="J130" s="397"/>
      <c r="K130" s="397"/>
      <c r="L130" s="401"/>
      <c r="M130" s="609"/>
      <c r="N130" s="609"/>
      <c r="O130" s="380"/>
      <c r="P130" s="380"/>
    </row>
    <row r="134" spans="1:16" ht="14.45" customHeight="1">
      <c r="D134" s="603">
        <f>D129+'PL-PO04786'!D73</f>
        <v>377.678</v>
      </c>
    </row>
    <row r="135" spans="1:16" ht="14.45" customHeight="1">
      <c r="D135" s="603">
        <f>D130+'PL-PO04786'!D74</f>
        <v>338.49799999999999</v>
      </c>
    </row>
    <row r="136" spans="1:16" ht="14.45" customHeight="1">
      <c r="D136" s="603">
        <f>D128+'PL-PO04786'!D72</f>
        <v>2.0415999999999999</v>
      </c>
    </row>
  </sheetData>
  <sheetProtection selectLockedCells="1" selectUnlockedCells="1"/>
  <mergeCells count="42">
    <mergeCell ref="O19:Q20"/>
    <mergeCell ref="A5:K5"/>
    <mergeCell ref="K7:L7"/>
    <mergeCell ref="K9:L9"/>
    <mergeCell ref="A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A107:H107"/>
    <mergeCell ref="A109:D109"/>
    <mergeCell ref="N109:N111"/>
    <mergeCell ref="A110:C111"/>
    <mergeCell ref="D110:D111"/>
    <mergeCell ref="A123:C123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9:C129"/>
    <mergeCell ref="A130:C130"/>
    <mergeCell ref="M130:N130"/>
    <mergeCell ref="A124:D124"/>
    <mergeCell ref="A126:C126"/>
    <mergeCell ref="L126:N126"/>
    <mergeCell ref="A127:C127"/>
    <mergeCell ref="L127:N127"/>
    <mergeCell ref="A128:C128"/>
  </mergeCells>
  <pageMargins left="0.31496062992126" right="0.31496062992126" top="0.511811023622047" bottom="0.31496062992126" header="0.511811023622047" footer="0.511811023622047"/>
  <pageSetup paperSize="9" scale="60" firstPageNumber="0" orientation="portrait" r:id="rId1"/>
  <headerFooter alignWithMargins="0"/>
  <rowBreaks count="2" manualBreakCount="2">
    <brk id="60" max="13" man="1"/>
    <brk id="107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9C6D7-1878-4528-9575-0AC8C2EFC5FC}">
  <dimension ref="A1:S961"/>
  <sheetViews>
    <sheetView tabSelected="1" view="pageBreakPreview" topLeftCell="A10" zoomScaleNormal="100" zoomScaleSheetLayoutView="100" workbookViewId="0">
      <selection activeCell="A15" sqref="A15:C21"/>
    </sheetView>
  </sheetViews>
  <sheetFormatPr defaultColWidth="12.5703125" defaultRowHeight="15" customHeight="1"/>
  <cols>
    <col min="1" max="1" width="12" style="13" customWidth="1"/>
    <col min="2" max="2" width="14.7109375" style="13" customWidth="1"/>
    <col min="3" max="3" width="14.5703125" style="13" customWidth="1"/>
    <col min="4" max="4" width="21" style="13" customWidth="1"/>
    <col min="5" max="5" width="23.42578125" style="13" customWidth="1"/>
    <col min="6" max="6" width="9.28515625" style="13" customWidth="1"/>
    <col min="7" max="7" width="9.7109375" style="13" customWidth="1"/>
    <col min="8" max="8" width="53.28515625" style="13" customWidth="1"/>
    <col min="9" max="9" width="13.140625" style="13" customWidth="1"/>
    <col min="10" max="10" width="10.5703125" style="13" customWidth="1"/>
    <col min="11" max="11" width="11.5703125" style="13" customWidth="1"/>
    <col min="12" max="12" width="10.85546875" style="13" customWidth="1"/>
    <col min="13" max="13" width="11.42578125" style="13" customWidth="1"/>
    <col min="14" max="14" width="10.85546875" style="13" customWidth="1"/>
    <col min="15" max="25" width="8.5703125" style="13" customWidth="1"/>
    <col min="26" max="16384" width="12.5703125" style="13"/>
  </cols>
  <sheetData>
    <row r="1" spans="1:14" ht="44.25" customHeight="1">
      <c r="A1" s="19"/>
      <c r="B1" s="20"/>
      <c r="C1" s="21"/>
      <c r="D1" s="21"/>
      <c r="E1" s="21"/>
      <c r="F1" s="20"/>
      <c r="G1" s="20"/>
      <c r="H1" s="22"/>
      <c r="I1" s="22"/>
      <c r="J1" s="22"/>
      <c r="K1" s="22"/>
      <c r="L1" s="22"/>
    </row>
    <row r="2" spans="1:14" ht="16.5" customHeight="1">
      <c r="A2" s="42" t="s">
        <v>49</v>
      </c>
      <c r="B2" s="23"/>
      <c r="C2" s="24"/>
      <c r="D2" s="24"/>
      <c r="F2" s="23"/>
      <c r="G2" s="23"/>
      <c r="H2" s="35" t="s">
        <v>8</v>
      </c>
      <c r="I2" s="44" t="s">
        <v>251</v>
      </c>
      <c r="K2" s="26"/>
      <c r="L2" s="27"/>
    </row>
    <row r="3" spans="1:14" ht="16.5" customHeight="1">
      <c r="A3" s="41" t="s">
        <v>50</v>
      </c>
      <c r="B3" s="26"/>
      <c r="C3" s="21"/>
      <c r="D3" s="21"/>
      <c r="F3" s="26"/>
      <c r="G3" s="26"/>
      <c r="H3" s="26" t="s">
        <v>9</v>
      </c>
      <c r="I3" s="232" t="s">
        <v>252</v>
      </c>
      <c r="L3" s="21"/>
    </row>
    <row r="4" spans="1:14" ht="16.5" customHeight="1">
      <c r="A4" s="41" t="s">
        <v>51</v>
      </c>
      <c r="B4" s="27"/>
      <c r="C4" s="28"/>
      <c r="D4" s="28"/>
      <c r="F4" s="29"/>
      <c r="G4" s="30"/>
      <c r="H4" s="26" t="s">
        <v>10</v>
      </c>
      <c r="I4" s="164">
        <v>46149</v>
      </c>
      <c r="J4" s="165"/>
      <c r="L4" s="21"/>
    </row>
    <row r="5" spans="1:14" ht="16.5" customHeight="1">
      <c r="A5" s="41" t="s">
        <v>52</v>
      </c>
      <c r="B5" s="27"/>
      <c r="C5" s="31"/>
      <c r="D5" s="31"/>
      <c r="F5" s="27"/>
      <c r="G5" s="32"/>
      <c r="H5" s="35" t="s">
        <v>11</v>
      </c>
      <c r="I5" s="34" t="s">
        <v>222</v>
      </c>
      <c r="J5" s="34"/>
      <c r="L5" s="21"/>
      <c r="N5" s="188"/>
    </row>
    <row r="6" spans="1:14" ht="16.5" customHeight="1">
      <c r="A6" s="32"/>
      <c r="B6" s="27"/>
      <c r="C6" s="31"/>
      <c r="D6" s="31"/>
      <c r="F6" s="27"/>
      <c r="G6" s="32"/>
      <c r="H6" s="35" t="s">
        <v>12</v>
      </c>
      <c r="I6" s="190" t="s">
        <v>223</v>
      </c>
      <c r="J6" s="34"/>
      <c r="L6" s="21"/>
    </row>
    <row r="7" spans="1:14" ht="16.5" customHeight="1">
      <c r="A7" s="43" t="s">
        <v>54</v>
      </c>
      <c r="B7" s="27"/>
      <c r="C7" s="31"/>
      <c r="D7" s="31"/>
      <c r="F7" s="27"/>
      <c r="G7" s="32"/>
      <c r="H7" s="35" t="s">
        <v>93</v>
      </c>
      <c r="I7" s="231">
        <v>46153</v>
      </c>
      <c r="J7" s="34"/>
      <c r="L7" s="21"/>
    </row>
    <row r="8" spans="1:14" ht="16.5" customHeight="1">
      <c r="A8" s="39" t="s">
        <v>55</v>
      </c>
      <c r="B8" s="27"/>
      <c r="C8" s="31"/>
      <c r="D8" s="31"/>
      <c r="E8" s="228"/>
      <c r="F8" s="27"/>
      <c r="G8" s="32"/>
      <c r="H8" s="35" t="s">
        <v>13</v>
      </c>
      <c r="I8" s="229">
        <v>46203</v>
      </c>
      <c r="J8" s="34"/>
      <c r="L8" s="21"/>
    </row>
    <row r="9" spans="1:14" ht="16.5" customHeight="1">
      <c r="A9" s="40" t="s">
        <v>56</v>
      </c>
      <c r="B9" s="27"/>
      <c r="C9" s="31"/>
      <c r="D9" s="31"/>
      <c r="F9" s="27"/>
      <c r="G9" s="32"/>
      <c r="H9" s="35" t="s">
        <v>14</v>
      </c>
      <c r="I9" s="34" t="s">
        <v>59</v>
      </c>
      <c r="J9" s="34"/>
      <c r="L9" s="21"/>
    </row>
    <row r="10" spans="1:14" ht="16.5" customHeight="1">
      <c r="A10" s="40" t="s">
        <v>57</v>
      </c>
      <c r="B10" s="27"/>
      <c r="C10" s="31"/>
      <c r="D10" s="31"/>
      <c r="E10" s="228"/>
      <c r="F10" s="27"/>
      <c r="G10" s="32"/>
      <c r="H10" s="35" t="s">
        <v>15</v>
      </c>
      <c r="I10" s="34" t="s">
        <v>218</v>
      </c>
      <c r="J10" s="34"/>
      <c r="L10" s="21"/>
    </row>
    <row r="11" spans="1:14" ht="16.5" customHeight="1">
      <c r="A11" s="41" t="s">
        <v>58</v>
      </c>
      <c r="B11" s="27"/>
      <c r="C11" s="31"/>
      <c r="D11" s="31"/>
      <c r="E11" s="31"/>
      <c r="F11" s="27"/>
      <c r="G11" s="32"/>
      <c r="H11" s="35" t="s">
        <v>16</v>
      </c>
      <c r="I11" s="34"/>
      <c r="J11" s="34"/>
      <c r="L11" s="21"/>
    </row>
    <row r="12" spans="1:14" ht="16.5" customHeight="1">
      <c r="A12" s="605" t="s">
        <v>17</v>
      </c>
      <c r="B12" s="606"/>
      <c r="C12" s="606"/>
      <c r="D12" s="606"/>
      <c r="E12" s="606"/>
      <c r="F12" s="606"/>
      <c r="G12" s="606"/>
      <c r="H12" s="26" t="s">
        <v>18</v>
      </c>
      <c r="I12" s="34" t="s">
        <v>53</v>
      </c>
      <c r="J12" s="34"/>
      <c r="L12" s="21"/>
    </row>
    <row r="13" spans="1:14" ht="11.25" customHeight="1">
      <c r="A13" s="27"/>
      <c r="B13" s="22"/>
      <c r="C13" s="33"/>
      <c r="D13" s="33"/>
      <c r="E13" s="33"/>
      <c r="F13" s="22"/>
      <c r="G13" s="22"/>
      <c r="L13" s="21"/>
    </row>
    <row r="14" spans="1:14" ht="16.5" customHeight="1">
      <c r="A14" s="34" t="s">
        <v>19</v>
      </c>
      <c r="B14" s="27"/>
      <c r="D14" s="34" t="s">
        <v>20</v>
      </c>
      <c r="E14" s="31"/>
      <c r="F14" s="27"/>
      <c r="G14" s="32"/>
      <c r="H14" s="25"/>
      <c r="I14" s="27"/>
      <c r="L14" s="21"/>
    </row>
    <row r="15" spans="1:14" ht="16.5" customHeight="1">
      <c r="A15" s="34" t="s">
        <v>458</v>
      </c>
      <c r="B15" s="31"/>
      <c r="D15" s="34" t="s">
        <v>199</v>
      </c>
      <c r="E15" s="31"/>
      <c r="F15" s="27"/>
      <c r="G15" s="32"/>
      <c r="H15" s="25"/>
      <c r="I15" s="27"/>
      <c r="L15" s="21"/>
    </row>
    <row r="16" spans="1:14" ht="16.5" customHeight="1">
      <c r="A16" s="13" t="s">
        <v>208</v>
      </c>
      <c r="B16" s="31"/>
      <c r="D16" s="226" t="s">
        <v>21</v>
      </c>
      <c r="E16" s="31"/>
      <c r="F16" s="27"/>
      <c r="G16" s="32"/>
      <c r="H16" s="25"/>
      <c r="I16" s="27"/>
      <c r="L16" s="21"/>
    </row>
    <row r="17" spans="1:16" ht="16.5" customHeight="1">
      <c r="A17" s="13" t="s">
        <v>209</v>
      </c>
      <c r="B17" s="31"/>
      <c r="D17" s="226" t="s">
        <v>22</v>
      </c>
      <c r="E17" s="31"/>
      <c r="F17" s="27"/>
      <c r="G17" s="32"/>
      <c r="H17" s="25"/>
      <c r="I17" s="27"/>
      <c r="L17" s="21"/>
    </row>
    <row r="18" spans="1:16" ht="16.5" customHeight="1">
      <c r="A18" s="13" t="s">
        <v>210</v>
      </c>
      <c r="B18" s="27"/>
      <c r="D18" s="226" t="s">
        <v>200</v>
      </c>
      <c r="E18" s="31"/>
      <c r="F18" s="27"/>
      <c r="G18" s="32"/>
      <c r="H18" s="25"/>
      <c r="I18" s="27"/>
      <c r="L18" s="21"/>
    </row>
    <row r="19" spans="1:16" ht="16.5" customHeight="1">
      <c r="A19" s="13" t="s">
        <v>211</v>
      </c>
      <c r="B19" s="27"/>
      <c r="D19" s="227" t="s">
        <v>201</v>
      </c>
      <c r="E19" s="31"/>
      <c r="F19" s="27"/>
      <c r="G19" s="32"/>
      <c r="H19" s="25"/>
      <c r="I19" s="27"/>
      <c r="L19" s="21"/>
    </row>
    <row r="20" spans="1:16" ht="16.5" customHeight="1">
      <c r="A20" s="13" t="s">
        <v>212</v>
      </c>
      <c r="B20" s="27"/>
      <c r="D20" s="226" t="s">
        <v>202</v>
      </c>
      <c r="E20" s="31"/>
      <c r="F20" s="27"/>
      <c r="G20" s="32"/>
      <c r="H20" s="25"/>
      <c r="I20" s="27"/>
      <c r="L20" s="21"/>
    </row>
    <row r="21" spans="1:16" ht="16.5" customHeight="1">
      <c r="A21" s="13" t="s">
        <v>213</v>
      </c>
      <c r="B21" s="27"/>
      <c r="D21" s="226"/>
      <c r="E21" s="31"/>
      <c r="F21" s="27"/>
      <c r="G21" s="32"/>
      <c r="H21" s="25"/>
      <c r="I21" s="27"/>
      <c r="L21" s="21"/>
    </row>
    <row r="22" spans="1:16" ht="16.5" customHeight="1">
      <c r="A22" s="13" t="s">
        <v>211</v>
      </c>
      <c r="B22" s="27"/>
      <c r="D22" s="226"/>
      <c r="E22" s="31"/>
      <c r="F22" s="27"/>
      <c r="G22" s="32"/>
      <c r="H22" s="25"/>
      <c r="I22" s="27"/>
      <c r="L22" s="21"/>
    </row>
    <row r="23" spans="1:16" ht="16.5" customHeight="1">
      <c r="A23" s="228" t="s">
        <v>214</v>
      </c>
      <c r="B23" s="27"/>
      <c r="D23" s="226"/>
      <c r="E23" s="31"/>
      <c r="F23" s="27"/>
      <c r="G23" s="32"/>
      <c r="H23" s="25"/>
      <c r="I23" s="27"/>
      <c r="L23" s="21"/>
    </row>
    <row r="24" spans="1:16" ht="16.5" customHeight="1">
      <c r="A24" s="13" t="s">
        <v>215</v>
      </c>
      <c r="B24" s="27"/>
      <c r="D24" s="226"/>
      <c r="E24" s="31"/>
      <c r="F24" s="27"/>
      <c r="G24" s="32"/>
      <c r="H24" s="25"/>
      <c r="I24" s="27"/>
      <c r="L24" s="21"/>
    </row>
    <row r="25" spans="1:16" ht="16.5" customHeight="1">
      <c r="A25" s="228" t="s">
        <v>216</v>
      </c>
      <c r="B25" s="27"/>
      <c r="D25" s="226"/>
      <c r="E25" s="31"/>
      <c r="F25" s="27"/>
      <c r="G25" s="32"/>
      <c r="H25" s="25"/>
      <c r="I25" s="27"/>
      <c r="L25" s="21"/>
    </row>
    <row r="26" spans="1:16" ht="9" customHeight="1" thickBot="1"/>
    <row r="27" spans="1:16" ht="39" customHeight="1" thickBot="1">
      <c r="A27" s="15" t="s">
        <v>23</v>
      </c>
      <c r="B27" s="16" t="s">
        <v>206</v>
      </c>
      <c r="C27" s="266" t="s">
        <v>1</v>
      </c>
      <c r="D27" s="266" t="s">
        <v>26</v>
      </c>
      <c r="E27" s="266" t="s">
        <v>27</v>
      </c>
      <c r="F27" s="266" t="s">
        <v>3</v>
      </c>
      <c r="G27" s="266" t="s">
        <v>2</v>
      </c>
      <c r="H27" s="266" t="s">
        <v>4</v>
      </c>
      <c r="I27" s="266" t="s">
        <v>0</v>
      </c>
      <c r="J27" s="273" t="s">
        <v>28</v>
      </c>
      <c r="K27" s="267" t="s">
        <v>29</v>
      </c>
      <c r="L27" s="286" t="s">
        <v>30</v>
      </c>
    </row>
    <row r="28" spans="1:16" ht="15" customHeight="1">
      <c r="A28" s="199" t="str">
        <f>I2</f>
        <v>PO04786</v>
      </c>
      <c r="B28" s="200" t="s">
        <v>224</v>
      </c>
      <c r="C28" s="201" t="s">
        <v>226</v>
      </c>
      <c r="D28" s="201" t="s">
        <v>225</v>
      </c>
      <c r="E28" s="200" t="s">
        <v>227</v>
      </c>
      <c r="F28" s="201" t="s">
        <v>7</v>
      </c>
      <c r="G28" s="201" t="s">
        <v>6</v>
      </c>
      <c r="H28" s="234" t="s">
        <v>228</v>
      </c>
      <c r="I28" s="254" t="s">
        <v>229</v>
      </c>
      <c r="J28" s="202">
        <v>27</v>
      </c>
      <c r="K28" s="298">
        <v>23.35</v>
      </c>
      <c r="L28" s="204">
        <f t="shared" ref="L28:L33" si="0">J28*K28</f>
        <v>630.45000000000005</v>
      </c>
      <c r="M28" s="13">
        <v>39.69</v>
      </c>
      <c r="N28" s="203">
        <v>52.92</v>
      </c>
    </row>
    <row r="29" spans="1:16" ht="15" customHeight="1">
      <c r="A29" s="199" t="str">
        <f>A28</f>
        <v>PO04786</v>
      </c>
      <c r="B29" s="200" t="s">
        <v>231</v>
      </c>
      <c r="C29" s="201" t="s">
        <v>226</v>
      </c>
      <c r="D29" s="201" t="str">
        <f>D28</f>
        <v>W Flint Pant</v>
      </c>
      <c r="E29" s="200" t="s">
        <v>230</v>
      </c>
      <c r="F29" s="201" t="s">
        <v>7</v>
      </c>
      <c r="G29" s="201" t="s">
        <v>6</v>
      </c>
      <c r="H29" s="234" t="s">
        <v>228</v>
      </c>
      <c r="I29" s="254" t="s">
        <v>229</v>
      </c>
      <c r="J29" s="202">
        <v>29</v>
      </c>
      <c r="K29" s="298">
        <v>23.35</v>
      </c>
      <c r="L29" s="204">
        <f t="shared" si="0"/>
        <v>677.15000000000009</v>
      </c>
      <c r="N29" s="203"/>
    </row>
    <row r="30" spans="1:16" ht="15" customHeight="1">
      <c r="A30" s="235" t="str">
        <f>A28</f>
        <v>PO04786</v>
      </c>
      <c r="B30" s="206" t="s">
        <v>232</v>
      </c>
      <c r="C30" s="205" t="s">
        <v>226</v>
      </c>
      <c r="D30" s="236" t="s">
        <v>234</v>
      </c>
      <c r="E30" s="237" t="s">
        <v>227</v>
      </c>
      <c r="F30" s="238" t="s">
        <v>7</v>
      </c>
      <c r="G30" s="238" t="s">
        <v>5</v>
      </c>
      <c r="H30" s="239" t="s">
        <v>228</v>
      </c>
      <c r="I30" s="240" t="s">
        <v>235</v>
      </c>
      <c r="J30" s="208">
        <v>18</v>
      </c>
      <c r="K30" s="287">
        <v>25.4</v>
      </c>
      <c r="L30" s="207">
        <f t="shared" si="0"/>
        <v>457.2</v>
      </c>
      <c r="M30" s="13">
        <v>45</v>
      </c>
      <c r="N30" s="241">
        <v>60</v>
      </c>
    </row>
    <row r="31" spans="1:16" ht="15" customHeight="1">
      <c r="A31" s="235" t="str">
        <f>A30</f>
        <v>PO04786</v>
      </c>
      <c r="B31" s="206" t="s">
        <v>233</v>
      </c>
      <c r="C31" s="205" t="s">
        <v>226</v>
      </c>
      <c r="D31" s="236" t="str">
        <f>D30</f>
        <v>M Clark Pant</v>
      </c>
      <c r="E31" s="237" t="s">
        <v>230</v>
      </c>
      <c r="F31" s="238" t="s">
        <v>7</v>
      </c>
      <c r="G31" s="238" t="s">
        <v>5</v>
      </c>
      <c r="H31" s="239" t="str">
        <f>H30</f>
        <v>53% Organic Cotton, 45% Recycled Polyester, 2% Spandex</v>
      </c>
      <c r="I31" s="240" t="s">
        <v>235</v>
      </c>
      <c r="J31" s="208">
        <v>51</v>
      </c>
      <c r="K31" s="287">
        <v>25.4</v>
      </c>
      <c r="L31" s="207">
        <f t="shared" si="0"/>
        <v>1295.3999999999999</v>
      </c>
      <c r="N31" s="241"/>
    </row>
    <row r="32" spans="1:16" ht="15" customHeight="1">
      <c r="A32" s="264" t="str">
        <f>A28</f>
        <v>PO04786</v>
      </c>
      <c r="B32" s="294" t="s">
        <v>248</v>
      </c>
      <c r="C32" s="260" t="s">
        <v>196</v>
      </c>
      <c r="D32" s="260" t="s">
        <v>249</v>
      </c>
      <c r="E32" s="265" t="s">
        <v>243</v>
      </c>
      <c r="F32" s="217" t="s">
        <v>7</v>
      </c>
      <c r="G32" s="217" t="s">
        <v>5</v>
      </c>
      <c r="H32" s="261" t="s">
        <v>195</v>
      </c>
      <c r="I32" s="270" t="s">
        <v>244</v>
      </c>
      <c r="J32" s="262">
        <v>5</v>
      </c>
      <c r="K32" s="291">
        <v>22.11</v>
      </c>
      <c r="L32" s="295">
        <f t="shared" si="0"/>
        <v>110.55</v>
      </c>
      <c r="M32" s="13">
        <v>38.14</v>
      </c>
      <c r="N32" s="263">
        <v>57.21</v>
      </c>
      <c r="P32" s="189"/>
    </row>
    <row r="33" spans="1:19" ht="32.25" customHeight="1">
      <c r="A33" s="218" t="str">
        <f>A30</f>
        <v>PO04786</v>
      </c>
      <c r="B33" s="219" t="s">
        <v>250</v>
      </c>
      <c r="C33" s="268" t="s">
        <v>196</v>
      </c>
      <c r="D33" s="221" t="s">
        <v>197</v>
      </c>
      <c r="E33" s="300" t="s">
        <v>253</v>
      </c>
      <c r="F33" s="268" t="s">
        <v>7</v>
      </c>
      <c r="G33" s="220" t="s">
        <v>6</v>
      </c>
      <c r="H33" s="222" t="s">
        <v>198</v>
      </c>
      <c r="I33" s="271" t="s">
        <v>239</v>
      </c>
      <c r="J33" s="269">
        <v>9</v>
      </c>
      <c r="K33" s="292">
        <v>14.73</v>
      </c>
      <c r="L33" s="224">
        <f t="shared" si="0"/>
        <v>132.57</v>
      </c>
      <c r="M33" s="230">
        <v>23.1</v>
      </c>
      <c r="N33" s="223">
        <v>34.65</v>
      </c>
      <c r="O33" s="230"/>
      <c r="P33" s="189"/>
    </row>
    <row r="34" spans="1:19" ht="9" customHeight="1" thickBot="1">
      <c r="A34" s="166"/>
      <c r="B34" s="32"/>
      <c r="C34" s="18"/>
      <c r="D34" s="18"/>
      <c r="E34" s="18"/>
      <c r="F34" s="17"/>
      <c r="G34" s="17"/>
      <c r="I34" s="233"/>
      <c r="J34" s="196"/>
      <c r="K34" s="191"/>
      <c r="L34" s="198"/>
    </row>
    <row r="35" spans="1:19" ht="15.75" customHeight="1" thickBot="1">
      <c r="A35" s="36"/>
      <c r="B35" s="293"/>
      <c r="C35" s="293"/>
      <c r="D35" s="37"/>
      <c r="E35" s="37"/>
      <c r="F35" s="37"/>
      <c r="G35" s="37"/>
      <c r="H35" s="38"/>
      <c r="I35" s="38"/>
      <c r="J35" s="195">
        <f>SUM(J28:J34)</f>
        <v>139</v>
      </c>
      <c r="K35" s="192"/>
      <c r="L35" s="197">
        <f>SUM(L28:L34)</f>
        <v>3303.32</v>
      </c>
      <c r="M35" s="193"/>
      <c r="N35" s="194"/>
      <c r="O35" s="194"/>
      <c r="P35" s="194"/>
      <c r="Q35" s="194"/>
      <c r="R35" s="194"/>
      <c r="S35" s="194"/>
    </row>
    <row r="36" spans="1:19" ht="15.75" customHeight="1">
      <c r="A36" s="166" t="s">
        <v>219</v>
      </c>
      <c r="C36" s="34" t="s">
        <v>457</v>
      </c>
      <c r="F36" s="32"/>
      <c r="G36" s="32"/>
      <c r="H36" s="18"/>
      <c r="I36" s="18"/>
      <c r="J36" s="18"/>
      <c r="K36" s="18"/>
      <c r="L36" s="178"/>
      <c r="N36" s="13">
        <f>52.94*6</f>
        <v>317.64</v>
      </c>
      <c r="P36" s="13">
        <f>52.92*6</f>
        <v>317.52</v>
      </c>
    </row>
    <row r="37" spans="1:19" ht="6" customHeight="1">
      <c r="A37" s="16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68"/>
      <c r="N37" s="13">
        <v>161.6</v>
      </c>
      <c r="P37" s="13">
        <v>160</v>
      </c>
    </row>
    <row r="38" spans="1:19" ht="15.75" customHeight="1" thickBot="1">
      <c r="A38" s="169" t="s">
        <v>31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170"/>
    </row>
    <row r="39" spans="1:19" ht="9" customHeight="1">
      <c r="A39" s="171"/>
      <c r="B39" s="5"/>
      <c r="C39" s="5"/>
      <c r="D39" s="5"/>
      <c r="E39" s="5"/>
      <c r="F39" s="5"/>
      <c r="G39" s="14"/>
      <c r="H39" s="5"/>
      <c r="I39" s="5"/>
      <c r="J39" s="5"/>
      <c r="K39" s="5"/>
      <c r="L39" s="172"/>
    </row>
    <row r="40" spans="1:19" ht="15.75" customHeight="1">
      <c r="A40" s="173" t="s">
        <v>149</v>
      </c>
      <c r="B40" s="18"/>
      <c r="C40" s="18"/>
      <c r="D40" s="18"/>
      <c r="E40" s="18"/>
      <c r="F40" s="18"/>
      <c r="G40" s="34" t="s">
        <v>49</v>
      </c>
      <c r="H40" s="18"/>
      <c r="I40" s="18"/>
      <c r="J40" s="18"/>
      <c r="K40" s="18"/>
      <c r="L40" s="168"/>
      <c r="N40" s="272">
        <f>5865.64-N36-N37</f>
        <v>5386.4</v>
      </c>
    </row>
    <row r="41" spans="1:19" ht="15.75" customHeight="1">
      <c r="A41" s="174" t="s">
        <v>204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68"/>
      <c r="N41" s="272">
        <f>N40+P36+P37</f>
        <v>5863.92</v>
      </c>
    </row>
    <row r="42" spans="1:19" ht="15.75" customHeight="1">
      <c r="A42" s="174">
        <v>48624</v>
      </c>
      <c r="B42" s="18"/>
      <c r="C42" s="18"/>
      <c r="D42" s="18"/>
      <c r="E42" s="18"/>
      <c r="F42" s="18"/>
      <c r="H42" s="18"/>
      <c r="I42" s="18"/>
      <c r="J42" s="18"/>
      <c r="K42" s="18"/>
      <c r="L42" s="168"/>
    </row>
    <row r="43" spans="1:19" ht="15.75" customHeight="1">
      <c r="A43" s="174" t="s">
        <v>151</v>
      </c>
      <c r="B43" s="18"/>
      <c r="C43" s="18"/>
      <c r="D43" s="18"/>
      <c r="E43" s="18"/>
      <c r="F43" s="18"/>
      <c r="H43" s="18"/>
      <c r="I43" s="18"/>
      <c r="J43" s="18"/>
      <c r="K43" s="18"/>
      <c r="L43" s="168"/>
      <c r="N43" s="272">
        <f>N41-L35</f>
        <v>2560.6</v>
      </c>
    </row>
    <row r="44" spans="1:19" ht="15.75" customHeight="1" thickBot="1">
      <c r="A44" s="174" t="s">
        <v>205</v>
      </c>
      <c r="B44" s="18"/>
      <c r="C44" s="18"/>
      <c r="D44" s="18"/>
      <c r="E44" s="18"/>
      <c r="F44" s="18"/>
      <c r="G44" s="176"/>
      <c r="H44" s="299"/>
      <c r="I44" s="18"/>
      <c r="J44" s="18"/>
      <c r="K44" s="18"/>
      <c r="L44" s="168"/>
    </row>
    <row r="45" spans="1:19" ht="8.25" customHeight="1" thickBot="1">
      <c r="A45" s="175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7"/>
    </row>
    <row r="46" spans="1:19" ht="14.25" customHeight="1"/>
    <row r="47" spans="1:19" ht="14.25" customHeight="1"/>
    <row r="48" spans="1:19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</sheetData>
  <autoFilter ref="A27:L33" xr:uid="{00000000-0001-0000-0100-000000000000}"/>
  <mergeCells count="1">
    <mergeCell ref="A12:G12"/>
  </mergeCells>
  <dataValidations count="2">
    <dataValidation type="list" allowBlank="1" showErrorMessage="1" sqref="F28:F34" xr:uid="{6A953B02-5167-4321-B3B3-FC812F75153A}">
      <formula1>"Dress,Hat,Headware,Hoodie,Jacket,Jacket Waterproof ,Jacket Waterresistent ,Jumpsuit,Outerwear,Pants,Shacket,Shirt,Short,Skirt,Socks,Sweater,Tank,Top,T-shirt,Vest,Bag,Bottle,Other"</formula1>
    </dataValidation>
    <dataValidation type="list" allowBlank="1" showErrorMessage="1" sqref="G28:G34" xr:uid="{358B9B68-D768-4020-8172-09A9287C863D}">
      <formula1>"Mens,Womens,Ungendered"</formula1>
    </dataValidation>
  </dataValidations>
  <pageMargins left="0.31496062992126" right="0.31496062992126" top="0.30118110199999998" bottom="0.35433070866141703" header="0" footer="0"/>
  <pageSetup paperSize="9" scale="70" orientation="landscape" r:id="rId1"/>
  <headerFooter>
    <oddFooter>&amp;CPage &amp;Pof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5BD0-CFA9-4628-9E84-9BFEC8D46392}">
  <dimension ref="A1:IU75"/>
  <sheetViews>
    <sheetView view="pageBreakPreview" topLeftCell="A64" zoomScaleNormal="100" zoomScaleSheetLayoutView="100" workbookViewId="0">
      <selection activeCell="L12" sqref="L12"/>
    </sheetView>
  </sheetViews>
  <sheetFormatPr defaultRowHeight="17.25"/>
  <cols>
    <col min="1" max="1" width="7.5703125" style="370" customWidth="1"/>
    <col min="2" max="2" width="1.7109375" style="312" customWidth="1"/>
    <col min="3" max="3" width="5.42578125" style="312" customWidth="1"/>
    <col min="4" max="4" width="18.42578125" style="312" customWidth="1"/>
    <col min="5" max="5" width="16.5703125" style="312" customWidth="1"/>
    <col min="6" max="6" width="14.42578125" style="403" customWidth="1"/>
    <col min="7" max="7" width="14.28515625" style="404" customWidth="1"/>
    <col min="8" max="8" width="18.5703125" style="370" customWidth="1"/>
    <col min="9" max="9" width="8.5703125" style="371" customWidth="1"/>
    <col min="10" max="10" width="12" style="371" customWidth="1"/>
    <col min="11" max="11" width="8.5703125" style="370" customWidth="1"/>
    <col min="12" max="12" width="8.7109375" style="405" customWidth="1"/>
    <col min="13" max="13" width="8.28515625" style="370" customWidth="1"/>
    <col min="14" max="14" width="11.85546875" style="370" customWidth="1"/>
    <col min="15" max="16" width="9.7109375" style="370" customWidth="1"/>
    <col min="17" max="17" width="16" style="370" customWidth="1"/>
    <col min="18" max="255" width="9.7109375" style="370" customWidth="1"/>
    <col min="256" max="1024" width="12.28515625" style="13" customWidth="1"/>
    <col min="1025" max="16384" width="9.140625" style="13"/>
  </cols>
  <sheetData>
    <row r="1" spans="1:14" s="32" customFormat="1" ht="24" customHeight="1">
      <c r="A1" s="274" t="str">
        <f>+'INV-PO04774'!A2</f>
        <v>CONTINENT 8 PTE LTD</v>
      </c>
      <c r="B1" s="347"/>
      <c r="C1" s="347"/>
      <c r="D1" s="348"/>
      <c r="E1" s="348"/>
      <c r="F1" s="348"/>
      <c r="G1" s="349"/>
      <c r="H1" s="349"/>
      <c r="I1" s="350"/>
      <c r="J1" s="351"/>
      <c r="K1" s="349"/>
      <c r="L1" s="352"/>
      <c r="N1" s="353"/>
    </row>
    <row r="2" spans="1:14" s="358" customFormat="1" ht="15.75" customHeight="1">
      <c r="A2" s="285" t="str">
        <f>+'INV-PO04774'!A3</f>
        <v xml:space="preserve">300 TAMPINES AVENUE 5, #. 09-02, </v>
      </c>
      <c r="B2" s="347"/>
      <c r="C2" s="347"/>
      <c r="D2" s="348"/>
      <c r="E2" s="348"/>
      <c r="F2" s="348"/>
      <c r="G2" s="354"/>
      <c r="H2" s="354"/>
      <c r="I2" s="355"/>
      <c r="J2" s="356"/>
      <c r="K2" s="354"/>
      <c r="L2" s="357"/>
      <c r="M2" s="32"/>
      <c r="N2" s="353"/>
    </row>
    <row r="3" spans="1:14" s="358" customFormat="1" ht="15.75" customHeight="1">
      <c r="A3" s="285" t="str">
        <f>+'INV-PO04774'!A4</f>
        <v>INCOME AT TAMPINES JUNCTION SINGAPORE 529653</v>
      </c>
      <c r="B3" s="347"/>
      <c r="C3" s="347"/>
      <c r="D3" s="348"/>
      <c r="E3" s="348"/>
      <c r="F3" s="348"/>
      <c r="G3" s="354"/>
      <c r="H3" s="354"/>
      <c r="I3" s="321"/>
      <c r="J3" s="356"/>
      <c r="K3" s="354"/>
      <c r="L3" s="357"/>
      <c r="M3" s="32"/>
      <c r="N3" s="353"/>
    </row>
    <row r="4" spans="1:14" s="358" customFormat="1" ht="15.75" customHeight="1">
      <c r="A4" s="285" t="str">
        <f>+'INV-PO04774'!A5</f>
        <v>AT TAMPINES JUNCTION SINGAPORE 529653</v>
      </c>
      <c r="B4" s="347"/>
      <c r="C4" s="347"/>
      <c r="D4" s="348"/>
      <c r="E4" s="348"/>
      <c r="F4" s="348"/>
      <c r="G4" s="354"/>
      <c r="H4" s="354"/>
      <c r="I4" s="321"/>
      <c r="J4" s="356"/>
      <c r="K4" s="354"/>
      <c r="L4" s="357"/>
      <c r="M4" s="32"/>
      <c r="N4" s="353"/>
    </row>
    <row r="5" spans="1:14" s="360" customFormat="1" ht="15.75" customHeight="1" thickBot="1">
      <c r="A5" s="654" t="s">
        <v>60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359"/>
    </row>
    <row r="6" spans="1:14" s="306" customFormat="1" ht="15.75" customHeight="1">
      <c r="A6" s="361"/>
      <c r="B6" s="362"/>
      <c r="C6" s="363"/>
      <c r="D6" s="363"/>
      <c r="E6" s="363"/>
      <c r="F6" s="363"/>
      <c r="G6" s="361"/>
      <c r="H6" s="364"/>
      <c r="J6" s="587" t="s">
        <v>217</v>
      </c>
      <c r="K6" s="588" t="str">
        <f>+'INV-PO04786'!I2</f>
        <v>PO04786</v>
      </c>
      <c r="L6" s="589"/>
      <c r="M6" s="590"/>
    </row>
    <row r="7" spans="1:14" s="306" customFormat="1" ht="15.75" customHeight="1">
      <c r="A7" s="302" t="s">
        <v>19</v>
      </c>
      <c r="B7" s="303"/>
      <c r="C7" s="303"/>
      <c r="D7" s="304"/>
      <c r="F7" s="304" t="s">
        <v>20</v>
      </c>
      <c r="J7" s="591" t="s">
        <v>61</v>
      </c>
      <c r="K7" s="301" t="str">
        <f>+'INV-PO04786'!I3</f>
        <v>022C8P2605AW26.A</v>
      </c>
      <c r="M7" s="592"/>
    </row>
    <row r="8" spans="1:14" s="306" customFormat="1" ht="15.75" customHeight="1">
      <c r="A8" s="305" t="s">
        <v>207</v>
      </c>
      <c r="C8" s="307"/>
      <c r="D8" s="307"/>
      <c r="F8" s="307" t="str">
        <f>+'INV-PO04774'!D15</f>
        <v>Tentree International Canada</v>
      </c>
      <c r="G8" s="366"/>
      <c r="H8" s="366"/>
      <c r="J8" s="591" t="s">
        <v>62</v>
      </c>
      <c r="K8" s="279" t="s">
        <v>63</v>
      </c>
      <c r="M8" s="593"/>
    </row>
    <row r="9" spans="1:14" s="306" customFormat="1" ht="15.75" customHeight="1">
      <c r="A9" s="306" t="s">
        <v>208</v>
      </c>
      <c r="F9" s="306" t="str">
        <f>+'INV-PO04774'!D16</f>
        <v>230-1275 Venables St.</v>
      </c>
      <c r="G9" s="366"/>
      <c r="H9" s="366"/>
      <c r="J9" s="591" t="s">
        <v>64</v>
      </c>
      <c r="K9" s="301" t="str">
        <f>K7</f>
        <v>022C8P2605AW26.A</v>
      </c>
      <c r="M9" s="592"/>
    </row>
    <row r="10" spans="1:14" s="306" customFormat="1" ht="15.75" customHeight="1">
      <c r="A10" s="306" t="s">
        <v>209</v>
      </c>
      <c r="F10" s="306" t="str">
        <f>+'INV-PO04774'!D17</f>
        <v>Vancouver, BC V6A 2E4</v>
      </c>
      <c r="J10" s="591" t="s">
        <v>65</v>
      </c>
      <c r="K10" s="646">
        <f>+'INV-PO04786'!I4</f>
        <v>46149</v>
      </c>
      <c r="L10" s="647"/>
      <c r="M10" s="593"/>
    </row>
    <row r="11" spans="1:14" s="306" customFormat="1" ht="15.75" customHeight="1" thickBot="1">
      <c r="A11" s="306" t="s">
        <v>210</v>
      </c>
      <c r="F11" s="306" t="str">
        <f>+'INV-PO04774'!D18</f>
        <v>Canada</v>
      </c>
      <c r="H11" s="306" t="s">
        <v>66</v>
      </c>
      <c r="J11" s="594" t="s">
        <v>67</v>
      </c>
      <c r="K11" s="604" t="s">
        <v>455</v>
      </c>
      <c r="L11" s="595"/>
      <c r="M11" s="596"/>
    </row>
    <row r="12" spans="1:14" s="306" customFormat="1" ht="15.75" customHeight="1">
      <c r="A12" s="306" t="s">
        <v>211</v>
      </c>
      <c r="F12" s="306" t="str">
        <f>+'INV-PO04774'!D19</f>
        <v xml:space="preserve">+7789897887 </v>
      </c>
      <c r="I12" s="368"/>
      <c r="J12" s="369"/>
      <c r="K12" s="307"/>
      <c r="L12" s="365"/>
    </row>
    <row r="13" spans="1:14" s="306" customFormat="1" ht="15.75" customHeight="1">
      <c r="A13" s="306" t="s">
        <v>212</v>
      </c>
      <c r="F13" s="306" t="str">
        <f>+'INV-PO04774'!D20</f>
        <v>logstics@tentree.com</v>
      </c>
      <c r="I13" s="368"/>
      <c r="J13" s="369"/>
      <c r="K13" s="307"/>
      <c r="L13" s="365"/>
    </row>
    <row r="14" spans="1:14" s="306" customFormat="1" ht="15.75" customHeight="1">
      <c r="A14" s="306" t="s">
        <v>213</v>
      </c>
      <c r="D14" s="308"/>
      <c r="E14" s="309"/>
      <c r="F14" s="367"/>
      <c r="I14" s="368"/>
      <c r="J14" s="369"/>
      <c r="K14" s="307"/>
      <c r="L14" s="365"/>
    </row>
    <row r="15" spans="1:14" s="306" customFormat="1" ht="15.75" customHeight="1">
      <c r="A15" s="306" t="s">
        <v>211</v>
      </c>
      <c r="D15" s="308"/>
      <c r="E15" s="309"/>
      <c r="F15" s="367"/>
      <c r="I15" s="368"/>
      <c r="J15" s="369"/>
      <c r="K15" s="307"/>
      <c r="L15" s="365"/>
    </row>
    <row r="16" spans="1:14" s="306" customFormat="1" ht="15.75" customHeight="1">
      <c r="A16" s="306" t="s">
        <v>214</v>
      </c>
      <c r="D16" s="308"/>
      <c r="E16" s="309"/>
      <c r="F16" s="367"/>
      <c r="I16" s="368"/>
      <c r="J16" s="369"/>
      <c r="K16" s="307"/>
      <c r="L16" s="365"/>
    </row>
    <row r="17" spans="1:37" s="306" customFormat="1" ht="15.75" customHeight="1">
      <c r="A17" s="306" t="s">
        <v>215</v>
      </c>
      <c r="B17" s="310"/>
      <c r="C17" s="310"/>
      <c r="D17" s="311"/>
      <c r="E17" s="312"/>
      <c r="F17" s="367"/>
      <c r="I17" s="368"/>
      <c r="J17" s="369"/>
      <c r="K17" s="307"/>
      <c r="L17" s="365"/>
    </row>
    <row r="18" spans="1:37" s="370" customFormat="1" ht="13.5" customHeight="1" thickBot="1">
      <c r="B18" s="310"/>
      <c r="C18" s="310"/>
      <c r="D18" s="310"/>
      <c r="E18" s="310"/>
      <c r="F18" s="310"/>
      <c r="I18" s="371"/>
      <c r="J18" s="371"/>
      <c r="K18" s="372"/>
      <c r="L18" s="373"/>
    </row>
    <row r="19" spans="1:37" s="319" customFormat="1" ht="15" customHeight="1" thickBot="1">
      <c r="A19" s="638" t="s">
        <v>68</v>
      </c>
      <c r="B19" s="639"/>
      <c r="C19" s="639"/>
      <c r="D19" s="639" t="s">
        <v>8</v>
      </c>
      <c r="E19" s="642" t="s">
        <v>24</v>
      </c>
      <c r="F19" s="642" t="s">
        <v>25</v>
      </c>
      <c r="G19" s="642" t="s">
        <v>26</v>
      </c>
      <c r="H19" s="642" t="s">
        <v>27</v>
      </c>
      <c r="I19" s="642" t="s">
        <v>254</v>
      </c>
      <c r="J19" s="642" t="s">
        <v>69</v>
      </c>
      <c r="K19" s="642" t="s">
        <v>255</v>
      </c>
      <c r="L19" s="642" t="s">
        <v>70</v>
      </c>
      <c r="M19" s="642" t="s">
        <v>71</v>
      </c>
      <c r="N19" s="644" t="s">
        <v>256</v>
      </c>
      <c r="O19" s="635" t="s">
        <v>72</v>
      </c>
      <c r="P19" s="635"/>
      <c r="Q19" s="635"/>
      <c r="R19" s="314"/>
      <c r="S19" s="315"/>
      <c r="T19" s="315"/>
      <c r="U19" s="314"/>
      <c r="V19" s="316"/>
      <c r="W19" s="316"/>
      <c r="X19" s="317"/>
      <c r="Y19" s="314"/>
      <c r="Z19" s="315"/>
      <c r="AA19" s="315"/>
      <c r="AB19" s="314"/>
      <c r="AC19" s="314"/>
      <c r="AD19" s="314"/>
      <c r="AE19" s="318"/>
      <c r="AF19" s="314"/>
      <c r="AG19" s="315"/>
      <c r="AH19" s="315"/>
      <c r="AI19" s="314"/>
      <c r="AJ19" s="314"/>
      <c r="AK19" s="318"/>
    </row>
    <row r="20" spans="1:37" s="319" customFormat="1" ht="15" customHeight="1" thickBot="1">
      <c r="A20" s="640"/>
      <c r="B20" s="641"/>
      <c r="C20" s="641"/>
      <c r="D20" s="641"/>
      <c r="E20" s="643"/>
      <c r="F20" s="643"/>
      <c r="G20" s="643"/>
      <c r="H20" s="643"/>
      <c r="I20" s="643"/>
      <c r="J20" s="643"/>
      <c r="K20" s="643"/>
      <c r="L20" s="643"/>
      <c r="M20" s="643"/>
      <c r="N20" s="645"/>
      <c r="O20" s="635"/>
      <c r="P20" s="635"/>
      <c r="Q20" s="635"/>
      <c r="R20" s="320"/>
      <c r="S20" s="315"/>
      <c r="T20" s="321"/>
      <c r="U20" s="321"/>
      <c r="Y20" s="314"/>
      <c r="Z20" s="315"/>
      <c r="AA20" s="315"/>
      <c r="AB20" s="314"/>
      <c r="AC20" s="314"/>
      <c r="AD20" s="314"/>
      <c r="AE20" s="318"/>
      <c r="AF20" s="314"/>
      <c r="AG20" s="315"/>
      <c r="AH20" s="315"/>
      <c r="AI20" s="314"/>
      <c r="AJ20" s="314"/>
      <c r="AK20" s="318"/>
    </row>
    <row r="21" spans="1:37" s="319" customFormat="1" ht="15" customHeight="1">
      <c r="A21" s="326">
        <v>1</v>
      </c>
      <c r="B21" s="326" t="s">
        <v>63</v>
      </c>
      <c r="C21" s="328">
        <f>+A21+I21-1</f>
        <v>1</v>
      </c>
      <c r="D21" s="441" t="str">
        <f>K6</f>
        <v>PO04786</v>
      </c>
      <c r="E21" s="329" t="s">
        <v>257</v>
      </c>
      <c r="F21" s="330">
        <v>661814875897</v>
      </c>
      <c r="G21" s="454" t="str">
        <f>+'INV-PO04786'!D28</f>
        <v>W Flint Pant</v>
      </c>
      <c r="H21" s="454" t="str">
        <f>+'INV-PO04786'!E28</f>
        <v>Ashwood</v>
      </c>
      <c r="I21" s="331">
        <v>1</v>
      </c>
      <c r="J21" s="331">
        <v>2</v>
      </c>
      <c r="K21" s="342">
        <f>J21+J22+J23+J24+J25+J26+J27</f>
        <v>27</v>
      </c>
      <c r="L21" s="343">
        <f>540*J21/1000+560*J22/1000+580*J23/1000+600*J24/1000+620*J25/1000+640*J26/1000+660*J27/1000</f>
        <v>16.059999999999999</v>
      </c>
      <c r="M21" s="343">
        <f>1.65+L21</f>
        <v>17.709999999999997</v>
      </c>
      <c r="N21" s="601" t="s">
        <v>258</v>
      </c>
      <c r="O21" s="322">
        <v>2</v>
      </c>
      <c r="P21" s="323">
        <v>285</v>
      </c>
      <c r="Q21" s="542" t="s">
        <v>359</v>
      </c>
      <c r="R21" s="543" t="s">
        <v>360</v>
      </c>
      <c r="S21" s="315"/>
      <c r="T21" s="321"/>
      <c r="U21" s="321"/>
      <c r="Z21" s="324"/>
    </row>
    <row r="22" spans="1:37" s="319" customFormat="1" ht="15" customHeight="1">
      <c r="A22" s="326"/>
      <c r="B22" s="326"/>
      <c r="C22" s="328"/>
      <c r="D22" s="441"/>
      <c r="E22" s="329" t="s">
        <v>259</v>
      </c>
      <c r="F22" s="330">
        <v>661814875873</v>
      </c>
      <c r="G22" s="454"/>
      <c r="H22" s="454"/>
      <c r="I22" s="331"/>
      <c r="J22" s="331">
        <v>5</v>
      </c>
      <c r="K22" s="342"/>
      <c r="L22" s="343"/>
      <c r="M22" s="343"/>
      <c r="N22" s="552"/>
      <c r="O22" s="322"/>
      <c r="P22" s="323"/>
      <c r="Q22" s="542" t="s">
        <v>361</v>
      </c>
      <c r="R22" s="543" t="s">
        <v>362</v>
      </c>
      <c r="S22" s="315"/>
      <c r="T22" s="321"/>
      <c r="U22" s="321"/>
      <c r="Z22" s="324"/>
    </row>
    <row r="23" spans="1:37" s="319" customFormat="1" ht="15" customHeight="1">
      <c r="A23" s="326"/>
      <c r="B23" s="326"/>
      <c r="C23" s="328"/>
      <c r="D23" s="441"/>
      <c r="E23" s="329" t="s">
        <v>260</v>
      </c>
      <c r="F23" s="330">
        <v>661814875859</v>
      </c>
      <c r="G23" s="454"/>
      <c r="H23" s="454"/>
      <c r="I23" s="331"/>
      <c r="J23" s="331">
        <v>6</v>
      </c>
      <c r="K23" s="342"/>
      <c r="L23" s="343"/>
      <c r="M23" s="343"/>
      <c r="N23" s="552"/>
      <c r="O23" s="322"/>
      <c r="P23" s="323"/>
      <c r="Q23" s="542" t="s">
        <v>363</v>
      </c>
      <c r="R23" s="543" t="s">
        <v>364</v>
      </c>
      <c r="S23" s="315"/>
      <c r="T23" s="321"/>
      <c r="U23" s="321"/>
      <c r="Z23" s="324"/>
    </row>
    <row r="24" spans="1:37" s="319" customFormat="1" ht="15" customHeight="1">
      <c r="A24" s="326"/>
      <c r="B24" s="326"/>
      <c r="C24" s="328"/>
      <c r="D24" s="441"/>
      <c r="E24" s="329" t="s">
        <v>261</v>
      </c>
      <c r="F24" s="330">
        <v>661814875835</v>
      </c>
      <c r="G24" s="454"/>
      <c r="H24" s="454"/>
      <c r="I24" s="331"/>
      <c r="J24" s="331">
        <v>5</v>
      </c>
      <c r="K24" s="342"/>
      <c r="L24" s="343"/>
      <c r="M24" s="343"/>
      <c r="N24" s="552"/>
      <c r="O24" s="322"/>
      <c r="P24" s="323"/>
      <c r="Q24" s="542" t="s">
        <v>365</v>
      </c>
      <c r="R24" s="543" t="s">
        <v>366</v>
      </c>
      <c r="S24" s="315"/>
      <c r="T24" s="321"/>
      <c r="U24" s="321"/>
      <c r="Z24" s="324"/>
    </row>
    <row r="25" spans="1:37" s="319" customFormat="1" ht="15" customHeight="1">
      <c r="A25" s="326"/>
      <c r="B25" s="326"/>
      <c r="C25" s="328"/>
      <c r="D25" s="441"/>
      <c r="E25" s="329" t="s">
        <v>262</v>
      </c>
      <c r="F25" s="330">
        <v>661814875972</v>
      </c>
      <c r="G25" s="454"/>
      <c r="H25" s="454"/>
      <c r="I25" s="331"/>
      <c r="J25" s="331">
        <v>4</v>
      </c>
      <c r="K25" s="342"/>
      <c r="L25" s="343"/>
      <c r="M25" s="343"/>
      <c r="N25" s="552"/>
      <c r="O25" s="322"/>
      <c r="P25" s="323"/>
      <c r="Q25" s="542" t="s">
        <v>351</v>
      </c>
      <c r="R25" s="543" t="s">
        <v>352</v>
      </c>
      <c r="S25" s="315"/>
      <c r="T25" s="321"/>
      <c r="U25" s="321"/>
      <c r="Z25" s="324"/>
    </row>
    <row r="26" spans="1:37" s="319" customFormat="1" ht="15" customHeight="1">
      <c r="A26" s="326"/>
      <c r="B26" s="326"/>
      <c r="C26" s="328"/>
      <c r="D26" s="441"/>
      <c r="E26" s="329" t="s">
        <v>264</v>
      </c>
      <c r="F26" s="330">
        <v>661814875958</v>
      </c>
      <c r="G26" s="454"/>
      <c r="H26" s="454"/>
      <c r="I26" s="331"/>
      <c r="J26" s="331">
        <v>4</v>
      </c>
      <c r="K26" s="342"/>
      <c r="L26" s="343"/>
      <c r="M26" s="343"/>
      <c r="N26" s="552"/>
      <c r="O26" s="322"/>
      <c r="P26" s="323"/>
      <c r="Q26" s="542" t="s">
        <v>353</v>
      </c>
      <c r="R26" s="543" t="s">
        <v>354</v>
      </c>
      <c r="S26" s="315"/>
      <c r="T26" s="321"/>
      <c r="U26" s="321"/>
      <c r="Z26" s="324"/>
    </row>
    <row r="27" spans="1:37" s="319" customFormat="1" ht="15" customHeight="1">
      <c r="A27" s="326"/>
      <c r="B27" s="326"/>
      <c r="C27" s="328"/>
      <c r="D27" s="441"/>
      <c r="E27" s="329" t="s">
        <v>265</v>
      </c>
      <c r="F27" s="330">
        <v>661814875934</v>
      </c>
      <c r="G27" s="454"/>
      <c r="H27" s="454"/>
      <c r="I27" s="331"/>
      <c r="J27" s="331">
        <v>1</v>
      </c>
      <c r="K27" s="342"/>
      <c r="L27" s="343"/>
      <c r="M27" s="343"/>
      <c r="N27" s="552"/>
      <c r="O27" s="322"/>
      <c r="P27" s="323"/>
      <c r="Q27" s="542" t="s">
        <v>355</v>
      </c>
      <c r="R27" s="543" t="s">
        <v>356</v>
      </c>
      <c r="S27" s="315"/>
      <c r="T27" s="321"/>
      <c r="U27" s="321"/>
      <c r="Z27" s="324"/>
    </row>
    <row r="28" spans="1:37" s="319" customFormat="1" ht="15" customHeight="1">
      <c r="A28" s="326">
        <f>A21+I21</f>
        <v>2</v>
      </c>
      <c r="B28" s="326" t="s">
        <v>63</v>
      </c>
      <c r="C28" s="328">
        <f>+A28+I28-1</f>
        <v>2</v>
      </c>
      <c r="D28" s="441"/>
      <c r="E28" s="329" t="s">
        <v>267</v>
      </c>
      <c r="F28" s="330">
        <v>661814876030</v>
      </c>
      <c r="G28" s="454"/>
      <c r="H28" s="454" t="str">
        <f>+'INV-PO04786'!E29</f>
        <v>Meteorite Black</v>
      </c>
      <c r="I28" s="331">
        <v>1</v>
      </c>
      <c r="J28" s="331">
        <v>5</v>
      </c>
      <c r="K28" s="342">
        <f>J28+J29+J30+J31+J32+J33+J34</f>
        <v>29</v>
      </c>
      <c r="L28" s="343">
        <f>540*J28/1000+560*J29/1000+580*J30/1000+600*J31/1000+620*J32/1000+640*J33/1000+660*J34/1000</f>
        <v>17.12</v>
      </c>
      <c r="M28" s="343">
        <f>1.65+L28</f>
        <v>18.77</v>
      </c>
      <c r="N28" s="601" t="s">
        <v>258</v>
      </c>
      <c r="O28" s="322"/>
      <c r="P28" s="323"/>
      <c r="Q28" s="542" t="s">
        <v>371</v>
      </c>
      <c r="R28" s="543" t="s">
        <v>360</v>
      </c>
      <c r="S28" s="315"/>
      <c r="T28" s="321"/>
      <c r="U28" s="321"/>
      <c r="Z28" s="324"/>
    </row>
    <row r="29" spans="1:37" s="319" customFormat="1" ht="15" customHeight="1">
      <c r="A29" s="326"/>
      <c r="B29" s="326"/>
      <c r="C29" s="328"/>
      <c r="D29" s="441"/>
      <c r="E29" s="329" t="s">
        <v>268</v>
      </c>
      <c r="F29" s="330">
        <v>661814876016</v>
      </c>
      <c r="G29" s="454"/>
      <c r="H29" s="454"/>
      <c r="I29" s="331"/>
      <c r="J29" s="331">
        <v>5</v>
      </c>
      <c r="K29" s="342"/>
      <c r="L29" s="343"/>
      <c r="M29" s="343"/>
      <c r="N29" s="552"/>
      <c r="O29" s="322"/>
      <c r="P29" s="323"/>
      <c r="Q29" s="542" t="s">
        <v>372</v>
      </c>
      <c r="R29" s="543" t="s">
        <v>362</v>
      </c>
      <c r="S29" s="315"/>
      <c r="T29" s="321"/>
      <c r="U29" s="321"/>
      <c r="Z29" s="324"/>
    </row>
    <row r="30" spans="1:37" s="319" customFormat="1" ht="15" customHeight="1">
      <c r="A30" s="326"/>
      <c r="B30" s="326"/>
      <c r="C30" s="328"/>
      <c r="D30" s="441"/>
      <c r="E30" s="329" t="s">
        <v>269</v>
      </c>
      <c r="F30" s="330">
        <v>661814875996</v>
      </c>
      <c r="G30" s="454"/>
      <c r="H30" s="454"/>
      <c r="I30" s="331"/>
      <c r="J30" s="331">
        <v>5</v>
      </c>
      <c r="K30" s="342"/>
      <c r="L30" s="343"/>
      <c r="M30" s="343"/>
      <c r="N30" s="552"/>
      <c r="O30" s="322"/>
      <c r="P30" s="323"/>
      <c r="Q30" s="542" t="s">
        <v>373</v>
      </c>
      <c r="R30" s="543" t="s">
        <v>364</v>
      </c>
      <c r="S30" s="315"/>
      <c r="T30" s="321"/>
      <c r="U30" s="321"/>
      <c r="Z30" s="324"/>
    </row>
    <row r="31" spans="1:37" s="319" customFormat="1" ht="15" customHeight="1">
      <c r="A31" s="326"/>
      <c r="B31" s="326"/>
      <c r="C31" s="328"/>
      <c r="D31" s="441"/>
      <c r="E31" s="329" t="s">
        <v>270</v>
      </c>
      <c r="F31" s="330">
        <v>661814876054</v>
      </c>
      <c r="G31" s="454"/>
      <c r="H31" s="454"/>
      <c r="I31" s="331"/>
      <c r="J31" s="331">
        <v>5</v>
      </c>
      <c r="K31" s="342"/>
      <c r="L31" s="343"/>
      <c r="M31" s="343"/>
      <c r="N31" s="552"/>
      <c r="O31" s="322"/>
      <c r="P31" s="323"/>
      <c r="Q31" s="542" t="s">
        <v>374</v>
      </c>
      <c r="R31" s="543" t="s">
        <v>366</v>
      </c>
      <c r="S31" s="315"/>
      <c r="T31" s="321"/>
      <c r="U31" s="321"/>
      <c r="Z31" s="324"/>
    </row>
    <row r="32" spans="1:37" s="319" customFormat="1" ht="15" customHeight="1">
      <c r="A32" s="326"/>
      <c r="B32" s="326"/>
      <c r="C32" s="328"/>
      <c r="D32" s="441"/>
      <c r="E32" s="329" t="s">
        <v>271</v>
      </c>
      <c r="F32" s="330">
        <v>661814876139</v>
      </c>
      <c r="G32" s="454"/>
      <c r="H32" s="454"/>
      <c r="I32" s="331"/>
      <c r="J32" s="331">
        <v>4</v>
      </c>
      <c r="K32" s="342"/>
      <c r="L32" s="343"/>
      <c r="M32" s="343"/>
      <c r="N32" s="552"/>
      <c r="O32" s="322"/>
      <c r="P32" s="323"/>
      <c r="Q32" s="319" t="s">
        <v>367</v>
      </c>
      <c r="R32" s="319" t="s">
        <v>352</v>
      </c>
      <c r="S32" s="315"/>
      <c r="T32" s="321"/>
      <c r="U32" s="321"/>
      <c r="Z32" s="324"/>
    </row>
    <row r="33" spans="1:26" s="319" customFormat="1" ht="15" customHeight="1">
      <c r="A33" s="326"/>
      <c r="B33" s="326"/>
      <c r="C33" s="328"/>
      <c r="D33" s="441"/>
      <c r="E33" s="329" t="s">
        <v>272</v>
      </c>
      <c r="F33" s="330">
        <v>661814876115</v>
      </c>
      <c r="G33" s="454"/>
      <c r="H33" s="454"/>
      <c r="I33" s="331"/>
      <c r="J33" s="331">
        <v>3</v>
      </c>
      <c r="K33" s="342"/>
      <c r="L33" s="343"/>
      <c r="M33" s="343"/>
      <c r="N33" s="552"/>
      <c r="O33" s="322"/>
      <c r="P33" s="323"/>
      <c r="Q33" s="319" t="s">
        <v>368</v>
      </c>
      <c r="R33" s="319" t="s">
        <v>354</v>
      </c>
      <c r="S33" s="315"/>
      <c r="T33" s="321"/>
      <c r="U33" s="321"/>
      <c r="Z33" s="324"/>
    </row>
    <row r="34" spans="1:26" s="319" customFormat="1" ht="15" customHeight="1">
      <c r="A34" s="326"/>
      <c r="B34" s="326"/>
      <c r="C34" s="328"/>
      <c r="D34" s="441"/>
      <c r="E34" s="329" t="s">
        <v>273</v>
      </c>
      <c r="F34" s="330">
        <v>661814876092</v>
      </c>
      <c r="G34" s="454"/>
      <c r="H34" s="454"/>
      <c r="I34" s="331"/>
      <c r="J34" s="331">
        <v>2</v>
      </c>
      <c r="K34" s="342"/>
      <c r="L34" s="343"/>
      <c r="M34" s="343"/>
      <c r="N34" s="552"/>
      <c r="O34" s="322"/>
      <c r="P34" s="323"/>
      <c r="Q34" s="319" t="s">
        <v>369</v>
      </c>
      <c r="R34" s="319" t="s">
        <v>356</v>
      </c>
      <c r="S34" s="315"/>
      <c r="T34" s="321"/>
      <c r="U34" s="321"/>
      <c r="Z34" s="324"/>
    </row>
    <row r="35" spans="1:26" s="319" customFormat="1" ht="15" customHeight="1">
      <c r="A35" s="326">
        <v>1</v>
      </c>
      <c r="B35" s="326" t="s">
        <v>63</v>
      </c>
      <c r="C35" s="328">
        <f>+A35+I35-1</f>
        <v>1</v>
      </c>
      <c r="D35" s="441" t="str">
        <f>K6</f>
        <v>PO04786</v>
      </c>
      <c r="E35" s="574" t="s">
        <v>275</v>
      </c>
      <c r="F35" s="575">
        <v>661814885612</v>
      </c>
      <c r="G35" s="576" t="str">
        <f>+'INV-PO04786'!D30</f>
        <v>M Clark Pant</v>
      </c>
      <c r="H35" s="576" t="str">
        <f>+'INV-PO04786'!E30</f>
        <v>Ashwood</v>
      </c>
      <c r="I35" s="331">
        <v>1</v>
      </c>
      <c r="J35" s="331">
        <v>3</v>
      </c>
      <c r="K35" s="342">
        <f>SUM(J35:J41)</f>
        <v>18</v>
      </c>
      <c r="L35" s="343">
        <f>540*J35/1000+560*J36/1000+580*J37/1000+600*J38/1000+620*J39/1000+640*J40/1000+660*J41/1000</f>
        <v>10.82</v>
      </c>
      <c r="M35" s="343">
        <f>1.65+L35</f>
        <v>12.47</v>
      </c>
      <c r="N35" s="601" t="s">
        <v>258</v>
      </c>
      <c r="O35" s="322">
        <v>2</v>
      </c>
      <c r="P35" s="323">
        <v>285</v>
      </c>
      <c r="Q35" s="319" t="s">
        <v>375</v>
      </c>
      <c r="R35" s="319" t="s">
        <v>376</v>
      </c>
      <c r="S35" s="315"/>
      <c r="T35" s="321"/>
      <c r="U35" s="321"/>
      <c r="Z35" s="324"/>
    </row>
    <row r="36" spans="1:26" s="319" customFormat="1" ht="15" customHeight="1">
      <c r="A36" s="326"/>
      <c r="B36" s="374"/>
      <c r="C36" s="328"/>
      <c r="D36" s="441"/>
      <c r="E36" s="574" t="s">
        <v>276</v>
      </c>
      <c r="F36" s="575">
        <v>661814885599</v>
      </c>
      <c r="G36" s="576"/>
      <c r="H36" s="576"/>
      <c r="I36" s="331"/>
      <c r="J36" s="331">
        <v>1</v>
      </c>
      <c r="K36" s="342"/>
      <c r="L36" s="343"/>
      <c r="M36" s="343"/>
      <c r="N36" s="552"/>
      <c r="O36" s="322"/>
      <c r="P36" s="323"/>
      <c r="Q36" s="319" t="s">
        <v>377</v>
      </c>
      <c r="R36" s="319" t="s">
        <v>378</v>
      </c>
      <c r="S36" s="315"/>
      <c r="T36" s="321"/>
      <c r="U36" s="321"/>
      <c r="Z36" s="324"/>
    </row>
    <row r="37" spans="1:26" s="319" customFormat="1" ht="15" customHeight="1">
      <c r="A37" s="326"/>
      <c r="B37" s="374"/>
      <c r="C37" s="328"/>
      <c r="D37" s="441"/>
      <c r="E37" s="574" t="s">
        <v>277</v>
      </c>
      <c r="F37" s="575">
        <v>661814885575</v>
      </c>
      <c r="G37" s="576"/>
      <c r="H37" s="576"/>
      <c r="I37" s="331"/>
      <c r="J37" s="331">
        <v>4</v>
      </c>
      <c r="K37" s="342"/>
      <c r="L37" s="343"/>
      <c r="M37" s="343"/>
      <c r="N37" s="552"/>
      <c r="O37" s="322"/>
      <c r="P37" s="323"/>
      <c r="Q37" s="319" t="s">
        <v>379</v>
      </c>
      <c r="R37" s="319" t="s">
        <v>380</v>
      </c>
      <c r="S37" s="315"/>
      <c r="T37" s="321"/>
      <c r="U37" s="321"/>
      <c r="Z37" s="324"/>
    </row>
    <row r="38" spans="1:26" s="319" customFormat="1" ht="15" customHeight="1">
      <c r="A38" s="326"/>
      <c r="B38" s="374"/>
      <c r="C38" s="328"/>
      <c r="D38" s="441"/>
      <c r="E38" s="574" t="s">
        <v>278</v>
      </c>
      <c r="F38" s="575">
        <v>661814885551</v>
      </c>
      <c r="G38" s="576"/>
      <c r="H38" s="576"/>
      <c r="I38" s="331"/>
      <c r="J38" s="331">
        <v>1</v>
      </c>
      <c r="K38" s="342"/>
      <c r="L38" s="343"/>
      <c r="M38" s="343"/>
      <c r="N38" s="552"/>
      <c r="O38" s="322"/>
      <c r="P38" s="323"/>
      <c r="Q38" s="542" t="s">
        <v>381</v>
      </c>
      <c r="R38" s="543" t="s">
        <v>382</v>
      </c>
      <c r="S38" s="315"/>
      <c r="T38" s="321"/>
      <c r="U38" s="321"/>
      <c r="Z38" s="324"/>
    </row>
    <row r="39" spans="1:26" s="319" customFormat="1" ht="15" customHeight="1">
      <c r="A39" s="326"/>
      <c r="B39" s="374"/>
      <c r="C39" s="328"/>
      <c r="D39" s="441"/>
      <c r="E39" s="574" t="s">
        <v>279</v>
      </c>
      <c r="F39" s="575">
        <v>661814885537</v>
      </c>
      <c r="G39" s="576"/>
      <c r="H39" s="576"/>
      <c r="I39" s="331"/>
      <c r="J39" s="331">
        <v>4</v>
      </c>
      <c r="K39" s="342"/>
      <c r="L39" s="343"/>
      <c r="M39" s="343"/>
      <c r="N39" s="552"/>
      <c r="O39" s="322"/>
      <c r="P39" s="323"/>
      <c r="Q39" s="542" t="s">
        <v>383</v>
      </c>
      <c r="R39" s="543" t="s">
        <v>384</v>
      </c>
      <c r="S39" s="315"/>
      <c r="T39" s="321"/>
      <c r="U39" s="321"/>
      <c r="Z39" s="324"/>
    </row>
    <row r="40" spans="1:26" s="319" customFormat="1" ht="15" customHeight="1">
      <c r="A40" s="326"/>
      <c r="B40" s="374"/>
      <c r="C40" s="328"/>
      <c r="D40" s="441"/>
      <c r="E40" s="574" t="s">
        <v>280</v>
      </c>
      <c r="F40" s="575">
        <v>661814885513</v>
      </c>
      <c r="G40" s="576"/>
      <c r="H40" s="576"/>
      <c r="I40" s="331"/>
      <c r="J40" s="331">
        <v>3</v>
      </c>
      <c r="K40" s="342"/>
      <c r="L40" s="343"/>
      <c r="M40" s="343"/>
      <c r="N40" s="552"/>
      <c r="O40" s="322"/>
      <c r="P40" s="323"/>
      <c r="Q40" s="542" t="s">
        <v>385</v>
      </c>
      <c r="R40" s="543" t="s">
        <v>386</v>
      </c>
      <c r="S40" s="315"/>
      <c r="T40" s="321"/>
      <c r="U40" s="321"/>
      <c r="Z40" s="324"/>
    </row>
    <row r="41" spans="1:26" s="319" customFormat="1" ht="15" customHeight="1">
      <c r="A41" s="326"/>
      <c r="B41" s="374"/>
      <c r="C41" s="328"/>
      <c r="D41" s="441"/>
      <c r="E41" s="574" t="s">
        <v>281</v>
      </c>
      <c r="F41" s="575">
        <v>661814885490</v>
      </c>
      <c r="G41" s="576"/>
      <c r="H41" s="576"/>
      <c r="I41" s="331"/>
      <c r="J41" s="331">
        <v>2</v>
      </c>
      <c r="K41" s="342"/>
      <c r="L41" s="343"/>
      <c r="M41" s="343"/>
      <c r="N41" s="552"/>
      <c r="O41" s="322"/>
      <c r="P41" s="323"/>
      <c r="Q41" s="542" t="s">
        <v>387</v>
      </c>
      <c r="R41" s="543" t="s">
        <v>388</v>
      </c>
      <c r="S41" s="315"/>
      <c r="T41" s="321"/>
      <c r="U41" s="321"/>
      <c r="Z41" s="324"/>
    </row>
    <row r="42" spans="1:26" s="319" customFormat="1" ht="15" customHeight="1">
      <c r="A42" s="326">
        <f>A35+I35</f>
        <v>2</v>
      </c>
      <c r="B42" s="326" t="s">
        <v>63</v>
      </c>
      <c r="C42" s="328">
        <f>+A42+I42-1</f>
        <v>2</v>
      </c>
      <c r="D42" s="441"/>
      <c r="E42" s="574" t="s">
        <v>283</v>
      </c>
      <c r="F42" s="575">
        <v>661814885773</v>
      </c>
      <c r="G42" s="576"/>
      <c r="H42" s="576" t="str">
        <f>+'INV-PO04786'!E31</f>
        <v>Meteorite Black</v>
      </c>
      <c r="I42" s="331">
        <v>1</v>
      </c>
      <c r="J42" s="331">
        <v>8</v>
      </c>
      <c r="K42" s="342">
        <f>J42+J43+J44+J45</f>
        <v>26</v>
      </c>
      <c r="L42" s="343">
        <f>540*J42/1000+560*J43/1000+580*J44/1000+600*J45/1000</f>
        <v>14.84</v>
      </c>
      <c r="M42" s="343">
        <f>1.65+L42</f>
        <v>16.489999999999998</v>
      </c>
      <c r="N42" s="601" t="s">
        <v>258</v>
      </c>
      <c r="O42" s="322"/>
      <c r="P42" s="323"/>
      <c r="Q42" s="542" t="s">
        <v>391</v>
      </c>
      <c r="R42" s="543" t="s">
        <v>376</v>
      </c>
      <c r="S42" s="315"/>
      <c r="T42" s="321"/>
      <c r="U42" s="321"/>
      <c r="Z42" s="324"/>
    </row>
    <row r="43" spans="1:26" s="319" customFormat="1" ht="15" customHeight="1">
      <c r="A43" s="326"/>
      <c r="B43" s="374"/>
      <c r="C43" s="328"/>
      <c r="D43" s="441"/>
      <c r="E43" s="574" t="s">
        <v>284</v>
      </c>
      <c r="F43" s="575">
        <v>661814885759</v>
      </c>
      <c r="G43" s="576"/>
      <c r="H43" s="576"/>
      <c r="I43" s="331"/>
      <c r="J43" s="331">
        <v>2</v>
      </c>
      <c r="K43" s="342"/>
      <c r="L43" s="343"/>
      <c r="M43" s="343"/>
      <c r="N43" s="552"/>
      <c r="O43" s="322"/>
      <c r="P43" s="323"/>
      <c r="Q43" s="542" t="s">
        <v>392</v>
      </c>
      <c r="R43" s="543" t="s">
        <v>378</v>
      </c>
      <c r="S43" s="315"/>
      <c r="T43" s="321"/>
      <c r="U43" s="321"/>
      <c r="Z43" s="324"/>
    </row>
    <row r="44" spans="1:26" s="319" customFormat="1" ht="15" customHeight="1">
      <c r="A44" s="326"/>
      <c r="B44" s="374"/>
      <c r="C44" s="328"/>
      <c r="D44" s="441"/>
      <c r="E44" s="574" t="s">
        <v>285</v>
      </c>
      <c r="F44" s="575">
        <v>661814885735</v>
      </c>
      <c r="G44" s="576"/>
      <c r="H44" s="576"/>
      <c r="I44" s="331"/>
      <c r="J44" s="331">
        <v>10</v>
      </c>
      <c r="K44" s="342"/>
      <c r="L44" s="343"/>
      <c r="M44" s="343"/>
      <c r="N44" s="552"/>
      <c r="O44" s="322"/>
      <c r="P44" s="323"/>
      <c r="Q44" s="542" t="s">
        <v>393</v>
      </c>
      <c r="R44" s="543" t="s">
        <v>380</v>
      </c>
      <c r="S44" s="315"/>
      <c r="T44" s="321"/>
      <c r="U44" s="321"/>
      <c r="Z44" s="324"/>
    </row>
    <row r="45" spans="1:26" s="319" customFormat="1" ht="15" customHeight="1">
      <c r="A45" s="326"/>
      <c r="B45" s="374"/>
      <c r="C45" s="328"/>
      <c r="D45" s="441"/>
      <c r="E45" s="574" t="s">
        <v>286</v>
      </c>
      <c r="F45" s="575">
        <v>661814885711</v>
      </c>
      <c r="G45" s="576"/>
      <c r="H45" s="576"/>
      <c r="I45" s="331"/>
      <c r="J45" s="331">
        <v>6</v>
      </c>
      <c r="K45" s="342"/>
      <c r="L45" s="343"/>
      <c r="M45" s="343"/>
      <c r="N45" s="552"/>
      <c r="O45" s="322"/>
      <c r="P45" s="323"/>
      <c r="Q45" s="542" t="s">
        <v>394</v>
      </c>
      <c r="R45" s="543" t="s">
        <v>382</v>
      </c>
      <c r="S45" s="315"/>
      <c r="T45" s="321"/>
      <c r="U45" s="321"/>
      <c r="Z45" s="324"/>
    </row>
    <row r="46" spans="1:26" s="319" customFormat="1" ht="15" customHeight="1">
      <c r="A46" s="326">
        <f>A42+I42</f>
        <v>3</v>
      </c>
      <c r="B46" s="326" t="s">
        <v>63</v>
      </c>
      <c r="C46" s="328">
        <f>+A46+I46-1</f>
        <v>3</v>
      </c>
      <c r="D46" s="441"/>
      <c r="E46" s="574" t="s">
        <v>287</v>
      </c>
      <c r="F46" s="575">
        <v>661814885698</v>
      </c>
      <c r="G46" s="576"/>
      <c r="H46" s="576"/>
      <c r="I46" s="331">
        <v>1</v>
      </c>
      <c r="J46" s="331">
        <v>10</v>
      </c>
      <c r="K46" s="342">
        <f>J46+J47+J48+J49</f>
        <v>25</v>
      </c>
      <c r="L46" s="343">
        <f>620*J46/1000+640*J47/1000+660*J48/1000+680*J49/1000</f>
        <v>16</v>
      </c>
      <c r="M46" s="343">
        <f>1.65+L46</f>
        <v>17.649999999999999</v>
      </c>
      <c r="N46" s="552" t="s">
        <v>263</v>
      </c>
      <c r="O46" s="322"/>
      <c r="P46" s="323"/>
      <c r="Q46" s="542" t="s">
        <v>395</v>
      </c>
      <c r="R46" s="543" t="s">
        <v>384</v>
      </c>
      <c r="S46" s="315"/>
      <c r="T46" s="321"/>
      <c r="U46" s="321"/>
      <c r="Z46" s="324"/>
    </row>
    <row r="47" spans="1:26" s="319" customFormat="1" ht="15" customHeight="1">
      <c r="A47" s="326"/>
      <c r="B47" s="374"/>
      <c r="C47" s="328"/>
      <c r="D47" s="441"/>
      <c r="E47" s="574" t="s">
        <v>288</v>
      </c>
      <c r="F47" s="575">
        <v>661814885674</v>
      </c>
      <c r="G47" s="576"/>
      <c r="H47" s="576"/>
      <c r="I47" s="331"/>
      <c r="J47" s="331">
        <v>7</v>
      </c>
      <c r="K47" s="342"/>
      <c r="L47" s="343"/>
      <c r="M47" s="343"/>
      <c r="N47" s="552"/>
      <c r="O47" s="322"/>
      <c r="P47" s="323"/>
      <c r="Q47" s="542" t="s">
        <v>396</v>
      </c>
      <c r="R47" s="543" t="s">
        <v>386</v>
      </c>
      <c r="S47" s="315"/>
      <c r="T47" s="321"/>
      <c r="U47" s="321"/>
      <c r="Z47" s="324"/>
    </row>
    <row r="48" spans="1:26" s="319" customFormat="1" ht="15" customHeight="1">
      <c r="A48" s="326"/>
      <c r="B48" s="374"/>
      <c r="C48" s="328"/>
      <c r="D48" s="441"/>
      <c r="E48" s="574" t="s">
        <v>289</v>
      </c>
      <c r="F48" s="575">
        <v>661814885650</v>
      </c>
      <c r="G48" s="576"/>
      <c r="H48" s="576"/>
      <c r="I48" s="331"/>
      <c r="J48" s="331">
        <v>6</v>
      </c>
      <c r="K48" s="342"/>
      <c r="L48" s="343"/>
      <c r="M48" s="343"/>
      <c r="N48" s="552"/>
      <c r="O48" s="322"/>
      <c r="P48" s="323"/>
      <c r="Q48" s="542" t="s">
        <v>397</v>
      </c>
      <c r="R48" s="543" t="s">
        <v>388</v>
      </c>
      <c r="S48" s="315"/>
      <c r="T48" s="321"/>
      <c r="U48" s="321"/>
      <c r="Z48" s="324"/>
    </row>
    <row r="49" spans="1:37" s="319" customFormat="1" ht="15" customHeight="1">
      <c r="A49" s="326"/>
      <c r="B49" s="374"/>
      <c r="C49" s="328"/>
      <c r="D49" s="441"/>
      <c r="E49" s="574" t="s">
        <v>290</v>
      </c>
      <c r="F49" s="575">
        <v>661814885636</v>
      </c>
      <c r="G49" s="576"/>
      <c r="H49" s="576"/>
      <c r="I49" s="331"/>
      <c r="J49" s="331">
        <v>2</v>
      </c>
      <c r="K49" s="342"/>
      <c r="L49" s="343"/>
      <c r="M49" s="343"/>
      <c r="N49" s="552"/>
      <c r="O49" s="322">
        <v>4</v>
      </c>
      <c r="P49" s="323">
        <v>288</v>
      </c>
      <c r="Q49" s="542" t="s">
        <v>398</v>
      </c>
      <c r="R49" s="543" t="s">
        <v>390</v>
      </c>
      <c r="S49" s="315"/>
      <c r="T49" s="321"/>
      <c r="U49" s="321"/>
      <c r="Z49" s="324"/>
    </row>
    <row r="50" spans="1:37" s="560" customFormat="1" ht="15" customHeight="1">
      <c r="A50" s="326">
        <v>1</v>
      </c>
      <c r="B50" s="326" t="s">
        <v>63</v>
      </c>
      <c r="C50" s="555">
        <v>1</v>
      </c>
      <c r="D50" s="553" t="str">
        <f>K6</f>
        <v>PO04786</v>
      </c>
      <c r="E50" s="577" t="s">
        <v>341</v>
      </c>
      <c r="F50" s="578">
        <v>661814886145</v>
      </c>
      <c r="G50" s="579" t="str">
        <f>+'INV-PO04786'!D32</f>
        <v>M Simcoe Pant</v>
      </c>
      <c r="H50" s="579" t="str">
        <f>+'INV-PO04786'!E32</f>
        <v>Cedar Bark</v>
      </c>
      <c r="I50" s="554">
        <v>1</v>
      </c>
      <c r="J50" s="554">
        <v>2</v>
      </c>
      <c r="K50" s="554">
        <f>J50+J51+J52</f>
        <v>5</v>
      </c>
      <c r="L50" s="571">
        <f>440*K50/1000</f>
        <v>2.2000000000000002</v>
      </c>
      <c r="M50" s="571">
        <f>L50+0.72</f>
        <v>2.92</v>
      </c>
      <c r="N50" s="326" t="s">
        <v>263</v>
      </c>
      <c r="O50" s="556"/>
      <c r="P50" s="556"/>
      <c r="Q50" s="597" t="s">
        <v>452</v>
      </c>
      <c r="R50" s="598" t="s">
        <v>82</v>
      </c>
      <c r="S50" s="558"/>
      <c r="T50" s="558"/>
      <c r="U50" s="557"/>
      <c r="V50" s="557"/>
      <c r="W50" s="557"/>
      <c r="X50" s="559"/>
      <c r="Y50" s="557"/>
      <c r="Z50" s="558"/>
      <c r="AA50" s="558"/>
      <c r="AB50" s="557"/>
      <c r="AC50" s="557"/>
      <c r="AD50" s="557"/>
      <c r="AE50" s="559"/>
      <c r="AF50" s="557"/>
      <c r="AG50" s="558"/>
      <c r="AH50" s="558"/>
      <c r="AI50" s="557"/>
      <c r="AJ50" s="557"/>
      <c r="AK50" s="559"/>
    </row>
    <row r="51" spans="1:37" s="560" customFormat="1" ht="15" customHeight="1">
      <c r="A51" s="326"/>
      <c r="B51" s="326"/>
      <c r="C51" s="555"/>
      <c r="D51" s="553"/>
      <c r="E51" s="577" t="s">
        <v>342</v>
      </c>
      <c r="F51" s="578">
        <v>661814886121</v>
      </c>
      <c r="G51" s="579"/>
      <c r="H51" s="579"/>
      <c r="I51" s="554"/>
      <c r="J51" s="554">
        <v>2</v>
      </c>
      <c r="K51" s="554"/>
      <c r="L51" s="571"/>
      <c r="M51" s="571"/>
      <c r="N51" s="326"/>
      <c r="O51" s="561"/>
      <c r="P51" s="562"/>
      <c r="Q51" s="599" t="s">
        <v>453</v>
      </c>
      <c r="R51" s="600" t="s">
        <v>81</v>
      </c>
      <c r="S51" s="563"/>
      <c r="Y51" s="557"/>
      <c r="Z51" s="558"/>
      <c r="AA51" s="558"/>
      <c r="AB51" s="557"/>
      <c r="AC51" s="557"/>
      <c r="AD51" s="557"/>
      <c r="AE51" s="559"/>
      <c r="AF51" s="557"/>
      <c r="AG51" s="558"/>
      <c r="AH51" s="558"/>
      <c r="AI51" s="557"/>
      <c r="AJ51" s="557"/>
      <c r="AK51" s="559"/>
    </row>
    <row r="52" spans="1:37" s="560" customFormat="1" ht="15" customHeight="1">
      <c r="A52" s="326"/>
      <c r="B52" s="326"/>
      <c r="C52" s="555"/>
      <c r="D52" s="553"/>
      <c r="E52" s="577" t="s">
        <v>343</v>
      </c>
      <c r="F52" s="578">
        <v>661814885469</v>
      </c>
      <c r="G52" s="579"/>
      <c r="H52" s="579"/>
      <c r="I52" s="554"/>
      <c r="J52" s="554">
        <v>1</v>
      </c>
      <c r="K52" s="554"/>
      <c r="L52" s="571"/>
      <c r="M52" s="571"/>
      <c r="N52" s="326"/>
      <c r="O52" s="561"/>
      <c r="P52" s="562"/>
      <c r="Q52" s="544" t="s">
        <v>454</v>
      </c>
      <c r="R52" s="543" t="s">
        <v>83</v>
      </c>
      <c r="S52" s="563"/>
      <c r="Y52" s="557"/>
      <c r="Z52" s="558"/>
      <c r="AA52" s="558"/>
      <c r="AB52" s="557"/>
      <c r="AC52" s="557"/>
      <c r="AD52" s="557"/>
      <c r="AE52" s="559"/>
      <c r="AF52" s="557"/>
      <c r="AG52" s="558"/>
      <c r="AH52" s="558"/>
      <c r="AI52" s="557"/>
      <c r="AJ52" s="557"/>
      <c r="AK52" s="559"/>
    </row>
    <row r="53" spans="1:37" s="319" customFormat="1" ht="45.75" customHeight="1">
      <c r="A53" s="326">
        <v>1</v>
      </c>
      <c r="B53" s="326" t="s">
        <v>63</v>
      </c>
      <c r="C53" s="328">
        <f>+A53+I53-1</f>
        <v>1</v>
      </c>
      <c r="D53" s="441" t="str">
        <f>K6</f>
        <v>PO04786</v>
      </c>
      <c r="E53" s="580" t="s">
        <v>334</v>
      </c>
      <c r="F53" s="581">
        <v>661814889023</v>
      </c>
      <c r="G53" s="582" t="str">
        <f>+'INV-PO04786'!D33</f>
        <v>W Yaletown Skirt</v>
      </c>
      <c r="H53" s="582" t="str">
        <f>+'INV-PO04786'!E33</f>
        <v>Meteorite Black/Meadowland Ditsy</v>
      </c>
      <c r="I53" s="331">
        <v>1</v>
      </c>
      <c r="J53" s="331">
        <v>3</v>
      </c>
      <c r="K53" s="342">
        <f>J53+J54+J55</f>
        <v>9</v>
      </c>
      <c r="L53" s="343">
        <f>170*J53/1000+190*J54/1000+210*J55/1000</f>
        <v>1.69</v>
      </c>
      <c r="M53" s="343">
        <f>1.65+L53</f>
        <v>3.34</v>
      </c>
      <c r="N53" s="552" t="s">
        <v>263</v>
      </c>
      <c r="O53" s="313"/>
      <c r="P53" s="313"/>
      <c r="Q53" s="542" t="s">
        <v>448</v>
      </c>
      <c r="R53" s="543" t="s">
        <v>80</v>
      </c>
      <c r="S53" s="314"/>
      <c r="T53" s="314"/>
      <c r="U53" s="314"/>
      <c r="V53" s="314"/>
      <c r="W53" s="314"/>
      <c r="X53" s="314"/>
      <c r="Y53" s="314"/>
      <c r="Z53" s="314"/>
      <c r="AA53" s="314"/>
      <c r="AB53" s="314"/>
      <c r="AC53" s="314"/>
      <c r="AD53" s="314"/>
      <c r="AE53" s="314"/>
      <c r="AF53" s="314"/>
      <c r="AG53" s="314"/>
      <c r="AH53" s="314"/>
      <c r="AI53" s="314"/>
      <c r="AJ53" s="314"/>
      <c r="AK53" s="314"/>
    </row>
    <row r="54" spans="1:37" s="319" customFormat="1" ht="15" customHeight="1">
      <c r="A54" s="326"/>
      <c r="B54" s="326"/>
      <c r="C54" s="568"/>
      <c r="D54" s="569"/>
      <c r="E54" s="583" t="s">
        <v>335</v>
      </c>
      <c r="F54" s="581">
        <v>661814889047</v>
      </c>
      <c r="G54" s="582"/>
      <c r="H54" s="582"/>
      <c r="I54" s="331"/>
      <c r="J54" s="331">
        <v>4</v>
      </c>
      <c r="K54" s="342"/>
      <c r="L54" s="343"/>
      <c r="M54" s="343"/>
      <c r="N54" s="552"/>
      <c r="O54" s="322"/>
      <c r="P54" s="323"/>
      <c r="Q54" s="542" t="s">
        <v>447</v>
      </c>
      <c r="R54" s="543" t="s">
        <v>81</v>
      </c>
      <c r="S54" s="314"/>
      <c r="T54" s="314"/>
      <c r="U54" s="314"/>
      <c r="V54" s="314"/>
      <c r="W54" s="314"/>
      <c r="X54" s="314"/>
      <c r="Y54" s="314"/>
      <c r="Z54" s="314"/>
      <c r="AA54" s="314"/>
      <c r="AB54" s="314"/>
      <c r="AC54" s="314"/>
      <c r="AD54" s="314"/>
      <c r="AE54" s="314"/>
      <c r="AF54" s="314"/>
      <c r="AG54" s="314"/>
      <c r="AH54" s="314"/>
      <c r="AI54" s="314"/>
      <c r="AJ54" s="314"/>
      <c r="AK54" s="314"/>
    </row>
    <row r="55" spans="1:37" s="319" customFormat="1" ht="15" customHeight="1">
      <c r="A55" s="326"/>
      <c r="B55" s="326"/>
      <c r="C55" s="568"/>
      <c r="D55" s="569"/>
      <c r="E55" s="583" t="s">
        <v>336</v>
      </c>
      <c r="F55" s="581">
        <v>661814889061</v>
      </c>
      <c r="G55" s="584"/>
      <c r="H55" s="585"/>
      <c r="I55" s="570"/>
      <c r="J55" s="570">
        <v>2</v>
      </c>
      <c r="K55" s="570"/>
      <c r="L55" s="572"/>
      <c r="M55" s="572"/>
      <c r="N55" s="573"/>
      <c r="O55" s="322"/>
      <c r="P55" s="323"/>
      <c r="Q55" s="319" t="s">
        <v>446</v>
      </c>
      <c r="R55" s="319" t="s">
        <v>82</v>
      </c>
      <c r="S55" s="314"/>
      <c r="T55" s="314"/>
      <c r="U55" s="314"/>
      <c r="V55" s="314"/>
      <c r="W55" s="314"/>
      <c r="X55" s="314"/>
      <c r="Y55" s="314"/>
      <c r="Z55" s="314"/>
      <c r="AA55" s="314"/>
      <c r="AB55" s="314"/>
      <c r="AC55" s="314"/>
      <c r="AD55" s="314"/>
      <c r="AE55" s="314"/>
      <c r="AF55" s="314"/>
      <c r="AG55" s="314"/>
      <c r="AH55" s="314"/>
      <c r="AI55" s="314"/>
      <c r="AJ55" s="314"/>
      <c r="AK55" s="314"/>
    </row>
    <row r="56" spans="1:37" s="319" customFormat="1" ht="15" customHeight="1" thickBot="1">
      <c r="A56" s="437"/>
      <c r="B56" s="344"/>
      <c r="C56" s="344"/>
      <c r="D56" s="344"/>
      <c r="E56" s="345"/>
      <c r="F56" s="346"/>
      <c r="G56" s="346"/>
      <c r="H56" s="346"/>
      <c r="I56" s="346"/>
      <c r="J56" s="346"/>
      <c r="K56" s="448"/>
      <c r="L56" s="449"/>
      <c r="M56" s="449"/>
      <c r="N56" s="450"/>
      <c r="O56" s="322"/>
      <c r="P56" s="323"/>
      <c r="S56" s="314"/>
      <c r="T56" s="314"/>
      <c r="U56" s="314"/>
      <c r="V56" s="314"/>
      <c r="W56" s="314"/>
      <c r="X56" s="314"/>
      <c r="Y56" s="314"/>
      <c r="Z56" s="314"/>
      <c r="AA56" s="314"/>
      <c r="AB56" s="314"/>
      <c r="AC56" s="314"/>
      <c r="AD56" s="314"/>
      <c r="AE56" s="314"/>
      <c r="AF56" s="314"/>
      <c r="AG56" s="314"/>
      <c r="AH56" s="314"/>
      <c r="AI56" s="314"/>
      <c r="AJ56" s="314"/>
      <c r="AK56" s="314"/>
    </row>
    <row r="57" spans="1:37" s="319" customFormat="1" ht="15" customHeight="1" thickTop="1" thickBot="1">
      <c r="A57" s="629" t="s">
        <v>338</v>
      </c>
      <c r="B57" s="630"/>
      <c r="C57" s="630"/>
      <c r="D57" s="630"/>
      <c r="E57" s="630"/>
      <c r="F57" s="630"/>
      <c r="G57" s="630"/>
      <c r="H57" s="630"/>
      <c r="I57" s="468">
        <f>SUM(I21:I56)</f>
        <v>7</v>
      </c>
      <c r="J57" s="468">
        <f>SUM(J21:J56)</f>
        <v>139</v>
      </c>
      <c r="K57" s="468">
        <f>SUM(K21:K56)</f>
        <v>139</v>
      </c>
      <c r="L57" s="469">
        <f>SUM(L21:L56)</f>
        <v>78.73</v>
      </c>
      <c r="M57" s="469">
        <f>SUM(M21:M56)</f>
        <v>89.350000000000009</v>
      </c>
      <c r="N57" s="541">
        <f>P59</f>
        <v>0.51039999999999996</v>
      </c>
      <c r="O57" s="322"/>
      <c r="P57" s="535">
        <f>80*44*25/1000000*4</f>
        <v>0.35199999999999998</v>
      </c>
      <c r="S57" s="314"/>
      <c r="T57" s="314"/>
      <c r="U57" s="314"/>
      <c r="V57" s="314"/>
      <c r="W57" s="314"/>
      <c r="X57" s="314"/>
      <c r="Y57" s="314"/>
      <c r="Z57" s="314"/>
      <c r="AA57" s="314"/>
      <c r="AB57" s="314"/>
      <c r="AC57" s="314"/>
      <c r="AD57" s="314"/>
      <c r="AE57" s="314"/>
      <c r="AF57" s="314"/>
      <c r="AG57" s="314"/>
      <c r="AH57" s="314"/>
      <c r="AI57" s="314"/>
      <c r="AJ57" s="314"/>
      <c r="AK57" s="314"/>
    </row>
    <row r="58" spans="1:37" s="370" customFormat="1" ht="15" customHeight="1">
      <c r="A58" s="376"/>
      <c r="B58" s="377"/>
      <c r="C58" s="377"/>
      <c r="D58" s="377"/>
      <c r="E58" s="377"/>
      <c r="F58" s="377"/>
      <c r="G58" s="376"/>
      <c r="H58" s="376"/>
      <c r="I58" s="378"/>
      <c r="J58" s="378"/>
      <c r="K58" s="376"/>
      <c r="L58" s="379"/>
      <c r="M58" s="376"/>
      <c r="N58" s="376"/>
      <c r="P58" s="535">
        <f>80*44*15/1000000*3</f>
        <v>0.15839999999999999</v>
      </c>
      <c r="Q58" s="545"/>
      <c r="R58" s="545"/>
    </row>
    <row r="59" spans="1:37" s="380" customFormat="1" ht="15" customHeight="1">
      <c r="A59" s="631" t="s">
        <v>74</v>
      </c>
      <c r="B59" s="632"/>
      <c r="C59" s="632"/>
      <c r="D59" s="632"/>
      <c r="E59" s="463" t="s">
        <v>79</v>
      </c>
      <c r="F59" s="463" t="s">
        <v>80</v>
      </c>
      <c r="G59" s="463" t="s">
        <v>81</v>
      </c>
      <c r="H59" s="463" t="s">
        <v>82</v>
      </c>
      <c r="I59" s="463" t="s">
        <v>83</v>
      </c>
      <c r="J59" s="463" t="s">
        <v>84</v>
      </c>
      <c r="K59" s="463" t="s">
        <v>203</v>
      </c>
      <c r="L59" s="463" t="s">
        <v>75</v>
      </c>
      <c r="M59" s="464" t="s">
        <v>76</v>
      </c>
      <c r="N59" s="633" t="s">
        <v>73</v>
      </c>
      <c r="P59" s="536">
        <f>SUM(P57:P58)</f>
        <v>0.51039999999999996</v>
      </c>
      <c r="Q59" s="546"/>
      <c r="R59" s="546"/>
    </row>
    <row r="60" spans="1:37" s="380" customFormat="1" ht="15" customHeight="1">
      <c r="A60" s="631" t="s">
        <v>77</v>
      </c>
      <c r="B60" s="632"/>
      <c r="C60" s="632"/>
      <c r="D60" s="634" t="s">
        <v>78</v>
      </c>
      <c r="E60" s="463">
        <v>2</v>
      </c>
      <c r="F60" s="463">
        <v>4</v>
      </c>
      <c r="G60" s="463">
        <v>6</v>
      </c>
      <c r="H60" s="463">
        <v>8</v>
      </c>
      <c r="I60" s="463">
        <v>10</v>
      </c>
      <c r="J60" s="463">
        <v>12</v>
      </c>
      <c r="K60" s="463">
        <v>14</v>
      </c>
      <c r="L60" s="463">
        <v>16</v>
      </c>
      <c r="M60" s="464"/>
      <c r="N60" s="633"/>
      <c r="Q60" s="546"/>
      <c r="R60" s="546"/>
    </row>
    <row r="61" spans="1:37" s="380" customFormat="1" ht="15" customHeight="1">
      <c r="A61" s="631"/>
      <c r="B61" s="632"/>
      <c r="C61" s="632"/>
      <c r="D61" s="634"/>
      <c r="E61" s="463">
        <v>30</v>
      </c>
      <c r="F61" s="463">
        <v>31</v>
      </c>
      <c r="G61" s="463">
        <v>32</v>
      </c>
      <c r="H61" s="463">
        <v>33</v>
      </c>
      <c r="I61" s="463">
        <v>34</v>
      </c>
      <c r="J61" s="463">
        <v>36</v>
      </c>
      <c r="K61" s="463">
        <v>38</v>
      </c>
      <c r="L61" s="463">
        <v>40</v>
      </c>
      <c r="M61" s="464"/>
      <c r="N61" s="633"/>
    </row>
    <row r="62" spans="1:37" s="380" customFormat="1" ht="15" customHeight="1">
      <c r="A62" s="649" t="str">
        <f>+'INV-PO04786'!B28</f>
        <v>TCW6649-6303</v>
      </c>
      <c r="B62" s="649"/>
      <c r="C62" s="649"/>
      <c r="D62" s="419" t="str">
        <f>+'INV-PO04786'!E28</f>
        <v>Ashwood</v>
      </c>
      <c r="E62" s="389">
        <v>2</v>
      </c>
      <c r="F62" s="389">
        <v>5</v>
      </c>
      <c r="G62" s="388">
        <v>6</v>
      </c>
      <c r="H62" s="389">
        <v>5</v>
      </c>
      <c r="I62" s="389">
        <v>4</v>
      </c>
      <c r="J62" s="383">
        <v>4</v>
      </c>
      <c r="K62" s="384">
        <v>1</v>
      </c>
      <c r="L62" s="384"/>
      <c r="M62" s="384"/>
      <c r="N62" s="564">
        <f t="shared" ref="N62:N67" si="0">SUM(E62:M62)</f>
        <v>27</v>
      </c>
      <c r="Q62" s="546"/>
      <c r="R62" s="546"/>
    </row>
    <row r="63" spans="1:37" s="380" customFormat="1" ht="15" customHeight="1">
      <c r="A63" s="650" t="str">
        <f>+'INV-PO04786'!B29</f>
        <v>TCW6649-0164</v>
      </c>
      <c r="B63" s="650"/>
      <c r="C63" s="650"/>
      <c r="D63" s="419" t="str">
        <f>+'INV-PO04786'!E29</f>
        <v>Meteorite Black</v>
      </c>
      <c r="E63" s="385">
        <v>5</v>
      </c>
      <c r="F63" s="386">
        <v>5</v>
      </c>
      <c r="G63" s="385">
        <v>5</v>
      </c>
      <c r="H63" s="385">
        <v>5</v>
      </c>
      <c r="I63" s="385">
        <v>4</v>
      </c>
      <c r="J63" s="385">
        <v>3</v>
      </c>
      <c r="K63" s="387">
        <v>2</v>
      </c>
      <c r="L63" s="387"/>
      <c r="M63" s="387"/>
      <c r="N63" s="564">
        <f t="shared" si="0"/>
        <v>29</v>
      </c>
      <c r="Q63" s="546"/>
      <c r="R63" s="546"/>
    </row>
    <row r="64" spans="1:37" s="380" customFormat="1" ht="15" customHeight="1">
      <c r="A64" s="651" t="str">
        <f>+'INV-PO04786'!B30</f>
        <v>TCM6684-6303</v>
      </c>
      <c r="B64" s="651"/>
      <c r="C64" s="651"/>
      <c r="D64" s="421" t="str">
        <f>+'INV-PO04786'!E30</f>
        <v>Ashwood</v>
      </c>
      <c r="E64" s="388">
        <v>3</v>
      </c>
      <c r="F64" s="388">
        <v>1</v>
      </c>
      <c r="G64" s="388">
        <v>4</v>
      </c>
      <c r="H64" s="388">
        <v>1</v>
      </c>
      <c r="I64" s="388">
        <v>4</v>
      </c>
      <c r="J64" s="388">
        <v>3</v>
      </c>
      <c r="K64" s="388">
        <v>2</v>
      </c>
      <c r="L64" s="387"/>
      <c r="M64" s="387"/>
      <c r="N64" s="564">
        <f t="shared" si="0"/>
        <v>18</v>
      </c>
      <c r="Q64" s="546"/>
      <c r="R64" s="546"/>
    </row>
    <row r="65" spans="1:18" s="380" customFormat="1" ht="15" customHeight="1">
      <c r="A65" s="651" t="str">
        <f>+'INV-PO04786'!B31</f>
        <v>TCM6684-0164</v>
      </c>
      <c r="B65" s="651"/>
      <c r="C65" s="651"/>
      <c r="D65" s="421" t="str">
        <f>+'INV-PO04786'!E31</f>
        <v>Meteorite Black</v>
      </c>
      <c r="E65" s="388">
        <v>8</v>
      </c>
      <c r="F65" s="388">
        <v>2</v>
      </c>
      <c r="G65" s="388">
        <v>10</v>
      </c>
      <c r="H65" s="388">
        <v>6</v>
      </c>
      <c r="I65" s="388">
        <v>10</v>
      </c>
      <c r="J65" s="388">
        <v>7</v>
      </c>
      <c r="K65" s="388">
        <v>6</v>
      </c>
      <c r="L65" s="387">
        <v>2</v>
      </c>
      <c r="M65" s="387"/>
      <c r="N65" s="564">
        <f t="shared" si="0"/>
        <v>51</v>
      </c>
      <c r="Q65" s="546"/>
      <c r="R65" s="546"/>
    </row>
    <row r="66" spans="1:18" s="380" customFormat="1" ht="15" customHeight="1">
      <c r="A66" s="652" t="str">
        <f>+'INV-PO04786'!B32</f>
        <v>TCM6797-0164</v>
      </c>
      <c r="B66" s="652"/>
      <c r="C66" s="652"/>
      <c r="D66" s="431" t="str">
        <f>+'INV-PO04786'!E32</f>
        <v>Cedar Bark</v>
      </c>
      <c r="E66" s="388"/>
      <c r="F66" s="388"/>
      <c r="G66" s="388">
        <v>2</v>
      </c>
      <c r="H66" s="388">
        <v>2</v>
      </c>
      <c r="I66" s="388">
        <v>1</v>
      </c>
      <c r="J66" s="388"/>
      <c r="K66" s="388"/>
      <c r="L66" s="387"/>
      <c r="M66" s="387"/>
      <c r="N66" s="564">
        <f t="shared" si="0"/>
        <v>5</v>
      </c>
    </row>
    <row r="67" spans="1:18" s="380" customFormat="1" ht="47.25" customHeight="1">
      <c r="A67" s="653" t="str">
        <f>+'INV-PO04786'!B33</f>
        <v>TCW5674-6391</v>
      </c>
      <c r="B67" s="653"/>
      <c r="C67" s="653"/>
      <c r="D67" s="586" t="str">
        <f>+'INV-PO04786'!E33</f>
        <v>Meteorite Black/Meadowland Ditsy</v>
      </c>
      <c r="E67" s="388"/>
      <c r="F67" s="388">
        <v>3</v>
      </c>
      <c r="G67" s="388">
        <v>4</v>
      </c>
      <c r="H67" s="388">
        <v>2</v>
      </c>
      <c r="I67" s="388"/>
      <c r="J67" s="388"/>
      <c r="K67" s="388"/>
      <c r="L67" s="387"/>
      <c r="M67" s="387"/>
      <c r="N67" s="564">
        <f t="shared" si="0"/>
        <v>9</v>
      </c>
    </row>
    <row r="68" spans="1:18" s="380" customFormat="1" ht="16.5" customHeight="1">
      <c r="A68" s="648" t="s">
        <v>339</v>
      </c>
      <c r="B68" s="648"/>
      <c r="C68" s="648"/>
      <c r="D68" s="648"/>
      <c r="E68" s="565">
        <f>SUM(E62:E67)</f>
        <v>18</v>
      </c>
      <c r="F68" s="565">
        <f t="shared" ref="F68:L68" si="1">SUM(F62:F67)</f>
        <v>16</v>
      </c>
      <c r="G68" s="565">
        <f t="shared" si="1"/>
        <v>31</v>
      </c>
      <c r="H68" s="565">
        <f t="shared" si="1"/>
        <v>21</v>
      </c>
      <c r="I68" s="565">
        <f t="shared" si="1"/>
        <v>23</v>
      </c>
      <c r="J68" s="565">
        <f t="shared" si="1"/>
        <v>17</v>
      </c>
      <c r="K68" s="565">
        <f t="shared" si="1"/>
        <v>11</v>
      </c>
      <c r="L68" s="565">
        <f t="shared" si="1"/>
        <v>2</v>
      </c>
      <c r="M68" s="566"/>
      <c r="N68" s="567">
        <f>SUM(N62:N67)</f>
        <v>139</v>
      </c>
    </row>
    <row r="69" spans="1:18" s="380" customFormat="1" ht="16.5" customHeight="1" thickBot="1">
      <c r="A69" s="390"/>
      <c r="B69" s="391"/>
      <c r="C69" s="391"/>
      <c r="D69" s="391"/>
      <c r="E69" s="391"/>
      <c r="F69" s="391"/>
      <c r="G69" s="391"/>
      <c r="H69" s="391"/>
      <c r="I69" s="391"/>
      <c r="J69" s="390"/>
      <c r="K69" s="392"/>
      <c r="L69" s="393"/>
      <c r="M69" s="393"/>
      <c r="N69" s="394"/>
    </row>
    <row r="70" spans="1:18" s="398" customFormat="1" ht="15.75" customHeight="1">
      <c r="A70" s="612" t="s">
        <v>85</v>
      </c>
      <c r="B70" s="612"/>
      <c r="C70" s="612"/>
      <c r="D70" s="395">
        <f>N68</f>
        <v>139</v>
      </c>
      <c r="E70" s="396" t="s">
        <v>86</v>
      </c>
      <c r="F70" s="391"/>
      <c r="G70" s="391"/>
      <c r="H70" s="391"/>
      <c r="I70" s="391"/>
      <c r="J70" s="397"/>
      <c r="K70" s="397"/>
      <c r="L70" s="609"/>
      <c r="M70" s="609"/>
      <c r="N70" s="609"/>
      <c r="O70" s="380"/>
      <c r="P70" s="380"/>
    </row>
    <row r="71" spans="1:18" s="398" customFormat="1" ht="15.75" customHeight="1">
      <c r="A71" s="607" t="s">
        <v>87</v>
      </c>
      <c r="B71" s="607"/>
      <c r="C71" s="607"/>
      <c r="D71" s="399">
        <f>I57</f>
        <v>7</v>
      </c>
      <c r="E71" s="396" t="s">
        <v>88</v>
      </c>
      <c r="F71" s="391"/>
      <c r="G71" s="391"/>
      <c r="H71" s="391"/>
      <c r="I71" s="391"/>
      <c r="J71" s="397"/>
      <c r="K71" s="397"/>
      <c r="L71" s="609"/>
      <c r="M71" s="609"/>
      <c r="N71" s="609"/>
      <c r="O71" s="380"/>
      <c r="P71" s="380"/>
    </row>
    <row r="72" spans="1:18" s="398" customFormat="1" ht="15.75" customHeight="1">
      <c r="A72" s="607" t="s">
        <v>340</v>
      </c>
      <c r="B72" s="607"/>
      <c r="C72" s="607"/>
      <c r="D72" s="602">
        <f>N57</f>
        <v>0.51039999999999996</v>
      </c>
      <c r="E72" s="396" t="s">
        <v>89</v>
      </c>
      <c r="F72" s="391"/>
      <c r="G72" s="391"/>
      <c r="H72" s="391"/>
      <c r="I72" s="391"/>
      <c r="J72" s="397"/>
      <c r="K72" s="397"/>
      <c r="L72" s="401"/>
      <c r="M72" s="401"/>
      <c r="N72" s="397"/>
      <c r="O72" s="380"/>
      <c r="P72" s="380"/>
    </row>
    <row r="73" spans="1:18" s="398" customFormat="1" ht="15.75" customHeight="1">
      <c r="A73" s="607" t="s">
        <v>90</v>
      </c>
      <c r="B73" s="607"/>
      <c r="C73" s="607"/>
      <c r="D73" s="400">
        <f>M57</f>
        <v>89.350000000000009</v>
      </c>
      <c r="E73" s="396" t="s">
        <v>91</v>
      </c>
      <c r="F73" s="391"/>
      <c r="G73" s="391"/>
      <c r="H73" s="391"/>
      <c r="I73" s="391"/>
      <c r="J73" s="397"/>
      <c r="K73" s="397"/>
      <c r="L73" s="401"/>
      <c r="M73" s="401"/>
      <c r="N73" s="397"/>
      <c r="O73" s="380"/>
      <c r="P73" s="380"/>
    </row>
    <row r="74" spans="1:18" s="398" customFormat="1" ht="16.5" customHeight="1" thickBot="1">
      <c r="A74" s="608" t="s">
        <v>92</v>
      </c>
      <c r="B74" s="608"/>
      <c r="C74" s="608"/>
      <c r="D74" s="402">
        <v>78.73</v>
      </c>
      <c r="E74" s="396" t="s">
        <v>91</v>
      </c>
      <c r="F74" s="391"/>
      <c r="G74" s="391"/>
      <c r="H74" s="391"/>
      <c r="I74" s="391"/>
      <c r="J74" s="397"/>
      <c r="K74" s="397"/>
      <c r="L74" s="401"/>
      <c r="M74" s="609"/>
      <c r="N74" s="609"/>
      <c r="O74" s="380"/>
      <c r="P74" s="380"/>
    </row>
    <row r="75" spans="1:18" s="398" customFormat="1" ht="15.75" customHeight="1">
      <c r="A75" s="397"/>
      <c r="B75" s="391"/>
      <c r="C75" s="391"/>
      <c r="D75" s="391"/>
      <c r="E75" s="391"/>
      <c r="F75" s="391"/>
      <c r="G75" s="391"/>
      <c r="H75" s="391"/>
      <c r="I75" s="391"/>
      <c r="J75" s="397"/>
      <c r="K75" s="397"/>
      <c r="L75" s="401"/>
      <c r="M75" s="609"/>
      <c r="N75" s="609"/>
      <c r="O75" s="380"/>
      <c r="P75" s="380"/>
    </row>
  </sheetData>
  <mergeCells count="36">
    <mergeCell ref="O19:Q20"/>
    <mergeCell ref="A5:K5"/>
    <mergeCell ref="A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A66:C66"/>
    <mergeCell ref="A67:C67"/>
    <mergeCell ref="A59:D59"/>
    <mergeCell ref="N59:N61"/>
    <mergeCell ref="A60:C61"/>
    <mergeCell ref="D60:D61"/>
    <mergeCell ref="A73:C73"/>
    <mergeCell ref="A74:C74"/>
    <mergeCell ref="M74:N74"/>
    <mergeCell ref="M75:N75"/>
    <mergeCell ref="K10:L10"/>
    <mergeCell ref="A57:H57"/>
    <mergeCell ref="A68:D68"/>
    <mergeCell ref="A70:C70"/>
    <mergeCell ref="L70:N70"/>
    <mergeCell ref="A71:C71"/>
    <mergeCell ref="L71:N71"/>
    <mergeCell ref="A72:C72"/>
    <mergeCell ref="A62:C62"/>
    <mergeCell ref="A63:C63"/>
    <mergeCell ref="A64:C64"/>
    <mergeCell ref="A65:C65"/>
  </mergeCells>
  <pageMargins left="0.45" right="0.45" top="0.5" bottom="0.5" header="0.3" footer="0.3"/>
  <pageSetup paperSize="9" scale="6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9043-A761-46F3-BEBC-C47EE8135E8A}">
  <dimension ref="A1:P131"/>
  <sheetViews>
    <sheetView view="pageBreakPreview" topLeftCell="B88" zoomScaleNormal="100" zoomScaleSheetLayoutView="100" workbookViewId="0">
      <selection activeCell="C37" sqref="C37"/>
    </sheetView>
  </sheetViews>
  <sheetFormatPr defaultColWidth="6.7109375" defaultRowHeight="15.75"/>
  <cols>
    <col min="1" max="1" width="10.5703125" style="45" customWidth="1"/>
    <col min="2" max="2" width="16.42578125" style="45" customWidth="1"/>
    <col min="3" max="3" width="8.7109375" style="45" customWidth="1"/>
    <col min="4" max="4" width="16.42578125" style="45" customWidth="1"/>
    <col min="5" max="5" width="25.42578125" style="45" customWidth="1"/>
    <col min="6" max="6" width="12.28515625" style="45" customWidth="1"/>
    <col min="7" max="7" width="10.85546875" style="45" customWidth="1"/>
    <col min="8" max="8" width="8.7109375" style="45" customWidth="1"/>
    <col min="9" max="9" width="9.5703125" style="45" customWidth="1"/>
    <col min="10" max="10" width="25.42578125" style="45" customWidth="1"/>
    <col min="11" max="11" width="8.5703125" style="45" customWidth="1"/>
    <col min="12" max="12" width="5.5703125" style="45" customWidth="1"/>
    <col min="13" max="13" width="7.140625" style="45" customWidth="1"/>
    <col min="14" max="14" width="7.7109375" style="45" customWidth="1"/>
    <col min="15" max="15" width="5.5703125" style="45" customWidth="1"/>
    <col min="16" max="16" width="14.140625" style="45" customWidth="1"/>
    <col min="17" max="256" width="6.7109375" style="45"/>
    <col min="257" max="257" width="9.5703125" style="45" customWidth="1"/>
    <col min="258" max="258" width="10.5703125" style="45" customWidth="1"/>
    <col min="259" max="259" width="11.7109375" style="45" customWidth="1"/>
    <col min="260" max="260" width="15.42578125" style="45" customWidth="1"/>
    <col min="261" max="261" width="18.28515625" style="45" customWidth="1"/>
    <col min="262" max="262" width="11" style="45" customWidth="1"/>
    <col min="263" max="263" width="12" style="45" customWidth="1"/>
    <col min="264" max="264" width="8.7109375" style="45" customWidth="1"/>
    <col min="265" max="265" width="9.5703125" style="45" customWidth="1"/>
    <col min="266" max="266" width="18.28515625" style="45" customWidth="1"/>
    <col min="267" max="267" width="10.7109375" style="45" customWidth="1"/>
    <col min="268" max="268" width="8.140625" style="45" customWidth="1"/>
    <col min="269" max="269" width="8.85546875" style="45" customWidth="1"/>
    <col min="270" max="270" width="11.140625" style="45" customWidth="1"/>
    <col min="271" max="271" width="7.42578125" style="45" customWidth="1"/>
    <col min="272" max="272" width="14.140625" style="45" customWidth="1"/>
    <col min="273" max="512" width="6.7109375" style="45"/>
    <col min="513" max="513" width="9.5703125" style="45" customWidth="1"/>
    <col min="514" max="514" width="10.5703125" style="45" customWidth="1"/>
    <col min="515" max="515" width="11.7109375" style="45" customWidth="1"/>
    <col min="516" max="516" width="15.42578125" style="45" customWidth="1"/>
    <col min="517" max="517" width="18.28515625" style="45" customWidth="1"/>
    <col min="518" max="518" width="11" style="45" customWidth="1"/>
    <col min="519" max="519" width="12" style="45" customWidth="1"/>
    <col min="520" max="520" width="8.7109375" style="45" customWidth="1"/>
    <col min="521" max="521" width="9.5703125" style="45" customWidth="1"/>
    <col min="522" max="522" width="18.28515625" style="45" customWidth="1"/>
    <col min="523" max="523" width="10.7109375" style="45" customWidth="1"/>
    <col min="524" max="524" width="8.140625" style="45" customWidth="1"/>
    <col min="525" max="525" width="8.85546875" style="45" customWidth="1"/>
    <col min="526" max="526" width="11.140625" style="45" customWidth="1"/>
    <col min="527" max="527" width="7.42578125" style="45" customWidth="1"/>
    <col min="528" max="528" width="14.140625" style="45" customWidth="1"/>
    <col min="529" max="768" width="6.7109375" style="45"/>
    <col min="769" max="769" width="9.5703125" style="45" customWidth="1"/>
    <col min="770" max="770" width="10.5703125" style="45" customWidth="1"/>
    <col min="771" max="771" width="11.7109375" style="45" customWidth="1"/>
    <col min="772" max="772" width="15.42578125" style="45" customWidth="1"/>
    <col min="773" max="773" width="18.28515625" style="45" customWidth="1"/>
    <col min="774" max="774" width="11" style="45" customWidth="1"/>
    <col min="775" max="775" width="12" style="45" customWidth="1"/>
    <col min="776" max="776" width="8.7109375" style="45" customWidth="1"/>
    <col min="777" max="777" width="9.5703125" style="45" customWidth="1"/>
    <col min="778" max="778" width="18.28515625" style="45" customWidth="1"/>
    <col min="779" max="779" width="10.7109375" style="45" customWidth="1"/>
    <col min="780" max="780" width="8.140625" style="45" customWidth="1"/>
    <col min="781" max="781" width="8.85546875" style="45" customWidth="1"/>
    <col min="782" max="782" width="11.140625" style="45" customWidth="1"/>
    <col min="783" max="783" width="7.42578125" style="45" customWidth="1"/>
    <col min="784" max="784" width="14.140625" style="45" customWidth="1"/>
    <col min="785" max="1024" width="6.7109375" style="45"/>
    <col min="1025" max="1025" width="9.5703125" style="45" customWidth="1"/>
    <col min="1026" max="1026" width="10.5703125" style="45" customWidth="1"/>
    <col min="1027" max="1027" width="11.7109375" style="45" customWidth="1"/>
    <col min="1028" max="1028" width="15.42578125" style="45" customWidth="1"/>
    <col min="1029" max="1029" width="18.28515625" style="45" customWidth="1"/>
    <col min="1030" max="1030" width="11" style="45" customWidth="1"/>
    <col min="1031" max="1031" width="12" style="45" customWidth="1"/>
    <col min="1032" max="1032" width="8.7109375" style="45" customWidth="1"/>
    <col min="1033" max="1033" width="9.5703125" style="45" customWidth="1"/>
    <col min="1034" max="1034" width="18.28515625" style="45" customWidth="1"/>
    <col min="1035" max="1035" width="10.7109375" style="45" customWidth="1"/>
    <col min="1036" max="1036" width="8.140625" style="45" customWidth="1"/>
    <col min="1037" max="1037" width="8.85546875" style="45" customWidth="1"/>
    <col min="1038" max="1038" width="11.140625" style="45" customWidth="1"/>
    <col min="1039" max="1039" width="7.42578125" style="45" customWidth="1"/>
    <col min="1040" max="1040" width="14.140625" style="45" customWidth="1"/>
    <col min="1041" max="1280" width="6.7109375" style="45"/>
    <col min="1281" max="1281" width="9.5703125" style="45" customWidth="1"/>
    <col min="1282" max="1282" width="10.5703125" style="45" customWidth="1"/>
    <col min="1283" max="1283" width="11.7109375" style="45" customWidth="1"/>
    <col min="1284" max="1284" width="15.42578125" style="45" customWidth="1"/>
    <col min="1285" max="1285" width="18.28515625" style="45" customWidth="1"/>
    <col min="1286" max="1286" width="11" style="45" customWidth="1"/>
    <col min="1287" max="1287" width="12" style="45" customWidth="1"/>
    <col min="1288" max="1288" width="8.7109375" style="45" customWidth="1"/>
    <col min="1289" max="1289" width="9.5703125" style="45" customWidth="1"/>
    <col min="1290" max="1290" width="18.28515625" style="45" customWidth="1"/>
    <col min="1291" max="1291" width="10.7109375" style="45" customWidth="1"/>
    <col min="1292" max="1292" width="8.140625" style="45" customWidth="1"/>
    <col min="1293" max="1293" width="8.85546875" style="45" customWidth="1"/>
    <col min="1294" max="1294" width="11.140625" style="45" customWidth="1"/>
    <col min="1295" max="1295" width="7.42578125" style="45" customWidth="1"/>
    <col min="1296" max="1296" width="14.140625" style="45" customWidth="1"/>
    <col min="1297" max="1536" width="6.7109375" style="45"/>
    <col min="1537" max="1537" width="9.5703125" style="45" customWidth="1"/>
    <col min="1538" max="1538" width="10.5703125" style="45" customWidth="1"/>
    <col min="1539" max="1539" width="11.7109375" style="45" customWidth="1"/>
    <col min="1540" max="1540" width="15.42578125" style="45" customWidth="1"/>
    <col min="1541" max="1541" width="18.28515625" style="45" customWidth="1"/>
    <col min="1542" max="1542" width="11" style="45" customWidth="1"/>
    <col min="1543" max="1543" width="12" style="45" customWidth="1"/>
    <col min="1544" max="1544" width="8.7109375" style="45" customWidth="1"/>
    <col min="1545" max="1545" width="9.5703125" style="45" customWidth="1"/>
    <col min="1546" max="1546" width="18.28515625" style="45" customWidth="1"/>
    <col min="1547" max="1547" width="10.7109375" style="45" customWidth="1"/>
    <col min="1548" max="1548" width="8.140625" style="45" customWidth="1"/>
    <col min="1549" max="1549" width="8.85546875" style="45" customWidth="1"/>
    <col min="1550" max="1550" width="11.140625" style="45" customWidth="1"/>
    <col min="1551" max="1551" width="7.42578125" style="45" customWidth="1"/>
    <col min="1552" max="1552" width="14.140625" style="45" customWidth="1"/>
    <col min="1553" max="1792" width="6.7109375" style="45"/>
    <col min="1793" max="1793" width="9.5703125" style="45" customWidth="1"/>
    <col min="1794" max="1794" width="10.5703125" style="45" customWidth="1"/>
    <col min="1795" max="1795" width="11.7109375" style="45" customWidth="1"/>
    <col min="1796" max="1796" width="15.42578125" style="45" customWidth="1"/>
    <col min="1797" max="1797" width="18.28515625" style="45" customWidth="1"/>
    <col min="1798" max="1798" width="11" style="45" customWidth="1"/>
    <col min="1799" max="1799" width="12" style="45" customWidth="1"/>
    <col min="1800" max="1800" width="8.7109375" style="45" customWidth="1"/>
    <col min="1801" max="1801" width="9.5703125" style="45" customWidth="1"/>
    <col min="1802" max="1802" width="18.28515625" style="45" customWidth="1"/>
    <col min="1803" max="1803" width="10.7109375" style="45" customWidth="1"/>
    <col min="1804" max="1804" width="8.140625" style="45" customWidth="1"/>
    <col min="1805" max="1805" width="8.85546875" style="45" customWidth="1"/>
    <col min="1806" max="1806" width="11.140625" style="45" customWidth="1"/>
    <col min="1807" max="1807" width="7.42578125" style="45" customWidth="1"/>
    <col min="1808" max="1808" width="14.140625" style="45" customWidth="1"/>
    <col min="1809" max="2048" width="6.7109375" style="45"/>
    <col min="2049" max="2049" width="9.5703125" style="45" customWidth="1"/>
    <col min="2050" max="2050" width="10.5703125" style="45" customWidth="1"/>
    <col min="2051" max="2051" width="11.7109375" style="45" customWidth="1"/>
    <col min="2052" max="2052" width="15.42578125" style="45" customWidth="1"/>
    <col min="2053" max="2053" width="18.28515625" style="45" customWidth="1"/>
    <col min="2054" max="2054" width="11" style="45" customWidth="1"/>
    <col min="2055" max="2055" width="12" style="45" customWidth="1"/>
    <col min="2056" max="2056" width="8.7109375" style="45" customWidth="1"/>
    <col min="2057" max="2057" width="9.5703125" style="45" customWidth="1"/>
    <col min="2058" max="2058" width="18.28515625" style="45" customWidth="1"/>
    <col min="2059" max="2059" width="10.7109375" style="45" customWidth="1"/>
    <col min="2060" max="2060" width="8.140625" style="45" customWidth="1"/>
    <col min="2061" max="2061" width="8.85546875" style="45" customWidth="1"/>
    <col min="2062" max="2062" width="11.140625" style="45" customWidth="1"/>
    <col min="2063" max="2063" width="7.42578125" style="45" customWidth="1"/>
    <col min="2064" max="2064" width="14.140625" style="45" customWidth="1"/>
    <col min="2065" max="2304" width="6.7109375" style="45"/>
    <col min="2305" max="2305" width="9.5703125" style="45" customWidth="1"/>
    <col min="2306" max="2306" width="10.5703125" style="45" customWidth="1"/>
    <col min="2307" max="2307" width="11.7109375" style="45" customWidth="1"/>
    <col min="2308" max="2308" width="15.42578125" style="45" customWidth="1"/>
    <col min="2309" max="2309" width="18.28515625" style="45" customWidth="1"/>
    <col min="2310" max="2310" width="11" style="45" customWidth="1"/>
    <col min="2311" max="2311" width="12" style="45" customWidth="1"/>
    <col min="2312" max="2312" width="8.7109375" style="45" customWidth="1"/>
    <col min="2313" max="2313" width="9.5703125" style="45" customWidth="1"/>
    <col min="2314" max="2314" width="18.28515625" style="45" customWidth="1"/>
    <col min="2315" max="2315" width="10.7109375" style="45" customWidth="1"/>
    <col min="2316" max="2316" width="8.140625" style="45" customWidth="1"/>
    <col min="2317" max="2317" width="8.85546875" style="45" customWidth="1"/>
    <col min="2318" max="2318" width="11.140625" style="45" customWidth="1"/>
    <col min="2319" max="2319" width="7.42578125" style="45" customWidth="1"/>
    <col min="2320" max="2320" width="14.140625" style="45" customWidth="1"/>
    <col min="2321" max="2560" width="6.7109375" style="45"/>
    <col min="2561" max="2561" width="9.5703125" style="45" customWidth="1"/>
    <col min="2562" max="2562" width="10.5703125" style="45" customWidth="1"/>
    <col min="2563" max="2563" width="11.7109375" style="45" customWidth="1"/>
    <col min="2564" max="2564" width="15.42578125" style="45" customWidth="1"/>
    <col min="2565" max="2565" width="18.28515625" style="45" customWidth="1"/>
    <col min="2566" max="2566" width="11" style="45" customWidth="1"/>
    <col min="2567" max="2567" width="12" style="45" customWidth="1"/>
    <col min="2568" max="2568" width="8.7109375" style="45" customWidth="1"/>
    <col min="2569" max="2569" width="9.5703125" style="45" customWidth="1"/>
    <col min="2570" max="2570" width="18.28515625" style="45" customWidth="1"/>
    <col min="2571" max="2571" width="10.7109375" style="45" customWidth="1"/>
    <col min="2572" max="2572" width="8.140625" style="45" customWidth="1"/>
    <col min="2573" max="2573" width="8.85546875" style="45" customWidth="1"/>
    <col min="2574" max="2574" width="11.140625" style="45" customWidth="1"/>
    <col min="2575" max="2575" width="7.42578125" style="45" customWidth="1"/>
    <col min="2576" max="2576" width="14.140625" style="45" customWidth="1"/>
    <col min="2577" max="2816" width="6.7109375" style="45"/>
    <col min="2817" max="2817" width="9.5703125" style="45" customWidth="1"/>
    <col min="2818" max="2818" width="10.5703125" style="45" customWidth="1"/>
    <col min="2819" max="2819" width="11.7109375" style="45" customWidth="1"/>
    <col min="2820" max="2820" width="15.42578125" style="45" customWidth="1"/>
    <col min="2821" max="2821" width="18.28515625" style="45" customWidth="1"/>
    <col min="2822" max="2822" width="11" style="45" customWidth="1"/>
    <col min="2823" max="2823" width="12" style="45" customWidth="1"/>
    <col min="2824" max="2824" width="8.7109375" style="45" customWidth="1"/>
    <col min="2825" max="2825" width="9.5703125" style="45" customWidth="1"/>
    <col min="2826" max="2826" width="18.28515625" style="45" customWidth="1"/>
    <col min="2827" max="2827" width="10.7109375" style="45" customWidth="1"/>
    <col min="2828" max="2828" width="8.140625" style="45" customWidth="1"/>
    <col min="2829" max="2829" width="8.85546875" style="45" customWidth="1"/>
    <col min="2830" max="2830" width="11.140625" style="45" customWidth="1"/>
    <col min="2831" max="2831" width="7.42578125" style="45" customWidth="1"/>
    <col min="2832" max="2832" width="14.140625" style="45" customWidth="1"/>
    <col min="2833" max="3072" width="6.7109375" style="45"/>
    <col min="3073" max="3073" width="9.5703125" style="45" customWidth="1"/>
    <col min="3074" max="3074" width="10.5703125" style="45" customWidth="1"/>
    <col min="3075" max="3075" width="11.7109375" style="45" customWidth="1"/>
    <col min="3076" max="3076" width="15.42578125" style="45" customWidth="1"/>
    <col min="3077" max="3077" width="18.28515625" style="45" customWidth="1"/>
    <col min="3078" max="3078" width="11" style="45" customWidth="1"/>
    <col min="3079" max="3079" width="12" style="45" customWidth="1"/>
    <col min="3080" max="3080" width="8.7109375" style="45" customWidth="1"/>
    <col min="3081" max="3081" width="9.5703125" style="45" customWidth="1"/>
    <col min="3082" max="3082" width="18.28515625" style="45" customWidth="1"/>
    <col min="3083" max="3083" width="10.7109375" style="45" customWidth="1"/>
    <col min="3084" max="3084" width="8.140625" style="45" customWidth="1"/>
    <col min="3085" max="3085" width="8.85546875" style="45" customWidth="1"/>
    <col min="3086" max="3086" width="11.140625" style="45" customWidth="1"/>
    <col min="3087" max="3087" width="7.42578125" style="45" customWidth="1"/>
    <col min="3088" max="3088" width="14.140625" style="45" customWidth="1"/>
    <col min="3089" max="3328" width="6.7109375" style="45"/>
    <col min="3329" max="3329" width="9.5703125" style="45" customWidth="1"/>
    <col min="3330" max="3330" width="10.5703125" style="45" customWidth="1"/>
    <col min="3331" max="3331" width="11.7109375" style="45" customWidth="1"/>
    <col min="3332" max="3332" width="15.42578125" style="45" customWidth="1"/>
    <col min="3333" max="3333" width="18.28515625" style="45" customWidth="1"/>
    <col min="3334" max="3334" width="11" style="45" customWidth="1"/>
    <col min="3335" max="3335" width="12" style="45" customWidth="1"/>
    <col min="3336" max="3336" width="8.7109375" style="45" customWidth="1"/>
    <col min="3337" max="3337" width="9.5703125" style="45" customWidth="1"/>
    <col min="3338" max="3338" width="18.28515625" style="45" customWidth="1"/>
    <col min="3339" max="3339" width="10.7109375" style="45" customWidth="1"/>
    <col min="3340" max="3340" width="8.140625" style="45" customWidth="1"/>
    <col min="3341" max="3341" width="8.85546875" style="45" customWidth="1"/>
    <col min="3342" max="3342" width="11.140625" style="45" customWidth="1"/>
    <col min="3343" max="3343" width="7.42578125" style="45" customWidth="1"/>
    <col min="3344" max="3344" width="14.140625" style="45" customWidth="1"/>
    <col min="3345" max="3584" width="6.7109375" style="45"/>
    <col min="3585" max="3585" width="9.5703125" style="45" customWidth="1"/>
    <col min="3586" max="3586" width="10.5703125" style="45" customWidth="1"/>
    <col min="3587" max="3587" width="11.7109375" style="45" customWidth="1"/>
    <col min="3588" max="3588" width="15.42578125" style="45" customWidth="1"/>
    <col min="3589" max="3589" width="18.28515625" style="45" customWidth="1"/>
    <col min="3590" max="3590" width="11" style="45" customWidth="1"/>
    <col min="3591" max="3591" width="12" style="45" customWidth="1"/>
    <col min="3592" max="3592" width="8.7109375" style="45" customWidth="1"/>
    <col min="3593" max="3593" width="9.5703125" style="45" customWidth="1"/>
    <col min="3594" max="3594" width="18.28515625" style="45" customWidth="1"/>
    <col min="3595" max="3595" width="10.7109375" style="45" customWidth="1"/>
    <col min="3596" max="3596" width="8.140625" style="45" customWidth="1"/>
    <col min="3597" max="3597" width="8.85546875" style="45" customWidth="1"/>
    <col min="3598" max="3598" width="11.140625" style="45" customWidth="1"/>
    <col min="3599" max="3599" width="7.42578125" style="45" customWidth="1"/>
    <col min="3600" max="3600" width="14.140625" style="45" customWidth="1"/>
    <col min="3601" max="3840" width="6.7109375" style="45"/>
    <col min="3841" max="3841" width="9.5703125" style="45" customWidth="1"/>
    <col min="3842" max="3842" width="10.5703125" style="45" customWidth="1"/>
    <col min="3843" max="3843" width="11.7109375" style="45" customWidth="1"/>
    <col min="3844" max="3844" width="15.42578125" style="45" customWidth="1"/>
    <col min="3845" max="3845" width="18.28515625" style="45" customWidth="1"/>
    <col min="3846" max="3846" width="11" style="45" customWidth="1"/>
    <col min="3847" max="3847" width="12" style="45" customWidth="1"/>
    <col min="3848" max="3848" width="8.7109375" style="45" customWidth="1"/>
    <col min="3849" max="3849" width="9.5703125" style="45" customWidth="1"/>
    <col min="3850" max="3850" width="18.28515625" style="45" customWidth="1"/>
    <col min="3851" max="3851" width="10.7109375" style="45" customWidth="1"/>
    <col min="3852" max="3852" width="8.140625" style="45" customWidth="1"/>
    <col min="3853" max="3853" width="8.85546875" style="45" customWidth="1"/>
    <col min="3854" max="3854" width="11.140625" style="45" customWidth="1"/>
    <col min="3855" max="3855" width="7.42578125" style="45" customWidth="1"/>
    <col min="3856" max="3856" width="14.140625" style="45" customWidth="1"/>
    <col min="3857" max="4096" width="6.7109375" style="45"/>
    <col min="4097" max="4097" width="9.5703125" style="45" customWidth="1"/>
    <col min="4098" max="4098" width="10.5703125" style="45" customWidth="1"/>
    <col min="4099" max="4099" width="11.7109375" style="45" customWidth="1"/>
    <col min="4100" max="4100" width="15.42578125" style="45" customWidth="1"/>
    <col min="4101" max="4101" width="18.28515625" style="45" customWidth="1"/>
    <col min="4102" max="4102" width="11" style="45" customWidth="1"/>
    <col min="4103" max="4103" width="12" style="45" customWidth="1"/>
    <col min="4104" max="4104" width="8.7109375" style="45" customWidth="1"/>
    <col min="4105" max="4105" width="9.5703125" style="45" customWidth="1"/>
    <col min="4106" max="4106" width="18.28515625" style="45" customWidth="1"/>
    <col min="4107" max="4107" width="10.7109375" style="45" customWidth="1"/>
    <col min="4108" max="4108" width="8.140625" style="45" customWidth="1"/>
    <col min="4109" max="4109" width="8.85546875" style="45" customWidth="1"/>
    <col min="4110" max="4110" width="11.140625" style="45" customWidth="1"/>
    <col min="4111" max="4111" width="7.42578125" style="45" customWidth="1"/>
    <col min="4112" max="4112" width="14.140625" style="45" customWidth="1"/>
    <col min="4113" max="4352" width="6.7109375" style="45"/>
    <col min="4353" max="4353" width="9.5703125" style="45" customWidth="1"/>
    <col min="4354" max="4354" width="10.5703125" style="45" customWidth="1"/>
    <col min="4355" max="4355" width="11.7109375" style="45" customWidth="1"/>
    <col min="4356" max="4356" width="15.42578125" style="45" customWidth="1"/>
    <col min="4357" max="4357" width="18.28515625" style="45" customWidth="1"/>
    <col min="4358" max="4358" width="11" style="45" customWidth="1"/>
    <col min="4359" max="4359" width="12" style="45" customWidth="1"/>
    <col min="4360" max="4360" width="8.7109375" style="45" customWidth="1"/>
    <col min="4361" max="4361" width="9.5703125" style="45" customWidth="1"/>
    <col min="4362" max="4362" width="18.28515625" style="45" customWidth="1"/>
    <col min="4363" max="4363" width="10.7109375" style="45" customWidth="1"/>
    <col min="4364" max="4364" width="8.140625" style="45" customWidth="1"/>
    <col min="4365" max="4365" width="8.85546875" style="45" customWidth="1"/>
    <col min="4366" max="4366" width="11.140625" style="45" customWidth="1"/>
    <col min="4367" max="4367" width="7.42578125" style="45" customWidth="1"/>
    <col min="4368" max="4368" width="14.140625" style="45" customWidth="1"/>
    <col min="4369" max="4608" width="6.7109375" style="45"/>
    <col min="4609" max="4609" width="9.5703125" style="45" customWidth="1"/>
    <col min="4610" max="4610" width="10.5703125" style="45" customWidth="1"/>
    <col min="4611" max="4611" width="11.7109375" style="45" customWidth="1"/>
    <col min="4612" max="4612" width="15.42578125" style="45" customWidth="1"/>
    <col min="4613" max="4613" width="18.28515625" style="45" customWidth="1"/>
    <col min="4614" max="4614" width="11" style="45" customWidth="1"/>
    <col min="4615" max="4615" width="12" style="45" customWidth="1"/>
    <col min="4616" max="4616" width="8.7109375" style="45" customWidth="1"/>
    <col min="4617" max="4617" width="9.5703125" style="45" customWidth="1"/>
    <col min="4618" max="4618" width="18.28515625" style="45" customWidth="1"/>
    <col min="4619" max="4619" width="10.7109375" style="45" customWidth="1"/>
    <col min="4620" max="4620" width="8.140625" style="45" customWidth="1"/>
    <col min="4621" max="4621" width="8.85546875" style="45" customWidth="1"/>
    <col min="4622" max="4622" width="11.140625" style="45" customWidth="1"/>
    <col min="4623" max="4623" width="7.42578125" style="45" customWidth="1"/>
    <col min="4624" max="4624" width="14.140625" style="45" customWidth="1"/>
    <col min="4625" max="4864" width="6.7109375" style="45"/>
    <col min="4865" max="4865" width="9.5703125" style="45" customWidth="1"/>
    <col min="4866" max="4866" width="10.5703125" style="45" customWidth="1"/>
    <col min="4867" max="4867" width="11.7109375" style="45" customWidth="1"/>
    <col min="4868" max="4868" width="15.42578125" style="45" customWidth="1"/>
    <col min="4869" max="4869" width="18.28515625" style="45" customWidth="1"/>
    <col min="4870" max="4870" width="11" style="45" customWidth="1"/>
    <col min="4871" max="4871" width="12" style="45" customWidth="1"/>
    <col min="4872" max="4872" width="8.7109375" style="45" customWidth="1"/>
    <col min="4873" max="4873" width="9.5703125" style="45" customWidth="1"/>
    <col min="4874" max="4874" width="18.28515625" style="45" customWidth="1"/>
    <col min="4875" max="4875" width="10.7109375" style="45" customWidth="1"/>
    <col min="4876" max="4876" width="8.140625" style="45" customWidth="1"/>
    <col min="4877" max="4877" width="8.85546875" style="45" customWidth="1"/>
    <col min="4878" max="4878" width="11.140625" style="45" customWidth="1"/>
    <col min="4879" max="4879" width="7.42578125" style="45" customWidth="1"/>
    <col min="4880" max="4880" width="14.140625" style="45" customWidth="1"/>
    <col min="4881" max="5120" width="6.7109375" style="45"/>
    <col min="5121" max="5121" width="9.5703125" style="45" customWidth="1"/>
    <col min="5122" max="5122" width="10.5703125" style="45" customWidth="1"/>
    <col min="5123" max="5123" width="11.7109375" style="45" customWidth="1"/>
    <col min="5124" max="5124" width="15.42578125" style="45" customWidth="1"/>
    <col min="5125" max="5125" width="18.28515625" style="45" customWidth="1"/>
    <col min="5126" max="5126" width="11" style="45" customWidth="1"/>
    <col min="5127" max="5127" width="12" style="45" customWidth="1"/>
    <col min="5128" max="5128" width="8.7109375" style="45" customWidth="1"/>
    <col min="5129" max="5129" width="9.5703125" style="45" customWidth="1"/>
    <col min="5130" max="5130" width="18.28515625" style="45" customWidth="1"/>
    <col min="5131" max="5131" width="10.7109375" style="45" customWidth="1"/>
    <col min="5132" max="5132" width="8.140625" style="45" customWidth="1"/>
    <col min="5133" max="5133" width="8.85546875" style="45" customWidth="1"/>
    <col min="5134" max="5134" width="11.140625" style="45" customWidth="1"/>
    <col min="5135" max="5135" width="7.42578125" style="45" customWidth="1"/>
    <col min="5136" max="5136" width="14.140625" style="45" customWidth="1"/>
    <col min="5137" max="5376" width="6.7109375" style="45"/>
    <col min="5377" max="5377" width="9.5703125" style="45" customWidth="1"/>
    <col min="5378" max="5378" width="10.5703125" style="45" customWidth="1"/>
    <col min="5379" max="5379" width="11.7109375" style="45" customWidth="1"/>
    <col min="5380" max="5380" width="15.42578125" style="45" customWidth="1"/>
    <col min="5381" max="5381" width="18.28515625" style="45" customWidth="1"/>
    <col min="5382" max="5382" width="11" style="45" customWidth="1"/>
    <col min="5383" max="5383" width="12" style="45" customWidth="1"/>
    <col min="5384" max="5384" width="8.7109375" style="45" customWidth="1"/>
    <col min="5385" max="5385" width="9.5703125" style="45" customWidth="1"/>
    <col min="5386" max="5386" width="18.28515625" style="45" customWidth="1"/>
    <col min="5387" max="5387" width="10.7109375" style="45" customWidth="1"/>
    <col min="5388" max="5388" width="8.140625" style="45" customWidth="1"/>
    <col min="5389" max="5389" width="8.85546875" style="45" customWidth="1"/>
    <col min="5390" max="5390" width="11.140625" style="45" customWidth="1"/>
    <col min="5391" max="5391" width="7.42578125" style="45" customWidth="1"/>
    <col min="5392" max="5392" width="14.140625" style="45" customWidth="1"/>
    <col min="5393" max="5632" width="6.7109375" style="45"/>
    <col min="5633" max="5633" width="9.5703125" style="45" customWidth="1"/>
    <col min="5634" max="5634" width="10.5703125" style="45" customWidth="1"/>
    <col min="5635" max="5635" width="11.7109375" style="45" customWidth="1"/>
    <col min="5636" max="5636" width="15.42578125" style="45" customWidth="1"/>
    <col min="5637" max="5637" width="18.28515625" style="45" customWidth="1"/>
    <col min="5638" max="5638" width="11" style="45" customWidth="1"/>
    <col min="5639" max="5639" width="12" style="45" customWidth="1"/>
    <col min="5640" max="5640" width="8.7109375" style="45" customWidth="1"/>
    <col min="5641" max="5641" width="9.5703125" style="45" customWidth="1"/>
    <col min="5642" max="5642" width="18.28515625" style="45" customWidth="1"/>
    <col min="5643" max="5643" width="10.7109375" style="45" customWidth="1"/>
    <col min="5644" max="5644" width="8.140625" style="45" customWidth="1"/>
    <col min="5645" max="5645" width="8.85546875" style="45" customWidth="1"/>
    <col min="5646" max="5646" width="11.140625" style="45" customWidth="1"/>
    <col min="5647" max="5647" width="7.42578125" style="45" customWidth="1"/>
    <col min="5648" max="5648" width="14.140625" style="45" customWidth="1"/>
    <col min="5649" max="5888" width="6.7109375" style="45"/>
    <col min="5889" max="5889" width="9.5703125" style="45" customWidth="1"/>
    <col min="5890" max="5890" width="10.5703125" style="45" customWidth="1"/>
    <col min="5891" max="5891" width="11.7109375" style="45" customWidth="1"/>
    <col min="5892" max="5892" width="15.42578125" style="45" customWidth="1"/>
    <col min="5893" max="5893" width="18.28515625" style="45" customWidth="1"/>
    <col min="5894" max="5894" width="11" style="45" customWidth="1"/>
    <col min="5895" max="5895" width="12" style="45" customWidth="1"/>
    <col min="5896" max="5896" width="8.7109375" style="45" customWidth="1"/>
    <col min="5897" max="5897" width="9.5703125" style="45" customWidth="1"/>
    <col min="5898" max="5898" width="18.28515625" style="45" customWidth="1"/>
    <col min="5899" max="5899" width="10.7109375" style="45" customWidth="1"/>
    <col min="5900" max="5900" width="8.140625" style="45" customWidth="1"/>
    <col min="5901" max="5901" width="8.85546875" style="45" customWidth="1"/>
    <col min="5902" max="5902" width="11.140625" style="45" customWidth="1"/>
    <col min="5903" max="5903" width="7.42578125" style="45" customWidth="1"/>
    <col min="5904" max="5904" width="14.140625" style="45" customWidth="1"/>
    <col min="5905" max="6144" width="6.7109375" style="45"/>
    <col min="6145" max="6145" width="9.5703125" style="45" customWidth="1"/>
    <col min="6146" max="6146" width="10.5703125" style="45" customWidth="1"/>
    <col min="6147" max="6147" width="11.7109375" style="45" customWidth="1"/>
    <col min="6148" max="6148" width="15.42578125" style="45" customWidth="1"/>
    <col min="6149" max="6149" width="18.28515625" style="45" customWidth="1"/>
    <col min="6150" max="6150" width="11" style="45" customWidth="1"/>
    <col min="6151" max="6151" width="12" style="45" customWidth="1"/>
    <col min="6152" max="6152" width="8.7109375" style="45" customWidth="1"/>
    <col min="6153" max="6153" width="9.5703125" style="45" customWidth="1"/>
    <col min="6154" max="6154" width="18.28515625" style="45" customWidth="1"/>
    <col min="6155" max="6155" width="10.7109375" style="45" customWidth="1"/>
    <col min="6156" max="6156" width="8.140625" style="45" customWidth="1"/>
    <col min="6157" max="6157" width="8.85546875" style="45" customWidth="1"/>
    <col min="6158" max="6158" width="11.140625" style="45" customWidth="1"/>
    <col min="6159" max="6159" width="7.42578125" style="45" customWidth="1"/>
    <col min="6160" max="6160" width="14.140625" style="45" customWidth="1"/>
    <col min="6161" max="6400" width="6.7109375" style="45"/>
    <col min="6401" max="6401" width="9.5703125" style="45" customWidth="1"/>
    <col min="6402" max="6402" width="10.5703125" style="45" customWidth="1"/>
    <col min="6403" max="6403" width="11.7109375" style="45" customWidth="1"/>
    <col min="6404" max="6404" width="15.42578125" style="45" customWidth="1"/>
    <col min="6405" max="6405" width="18.28515625" style="45" customWidth="1"/>
    <col min="6406" max="6406" width="11" style="45" customWidth="1"/>
    <col min="6407" max="6407" width="12" style="45" customWidth="1"/>
    <col min="6408" max="6408" width="8.7109375" style="45" customWidth="1"/>
    <col min="6409" max="6409" width="9.5703125" style="45" customWidth="1"/>
    <col min="6410" max="6410" width="18.28515625" style="45" customWidth="1"/>
    <col min="6411" max="6411" width="10.7109375" style="45" customWidth="1"/>
    <col min="6412" max="6412" width="8.140625" style="45" customWidth="1"/>
    <col min="6413" max="6413" width="8.85546875" style="45" customWidth="1"/>
    <col min="6414" max="6414" width="11.140625" style="45" customWidth="1"/>
    <col min="6415" max="6415" width="7.42578125" style="45" customWidth="1"/>
    <col min="6416" max="6416" width="14.140625" style="45" customWidth="1"/>
    <col min="6417" max="6656" width="6.7109375" style="45"/>
    <col min="6657" max="6657" width="9.5703125" style="45" customWidth="1"/>
    <col min="6658" max="6658" width="10.5703125" style="45" customWidth="1"/>
    <col min="6659" max="6659" width="11.7109375" style="45" customWidth="1"/>
    <col min="6660" max="6660" width="15.42578125" style="45" customWidth="1"/>
    <col min="6661" max="6661" width="18.28515625" style="45" customWidth="1"/>
    <col min="6662" max="6662" width="11" style="45" customWidth="1"/>
    <col min="6663" max="6663" width="12" style="45" customWidth="1"/>
    <col min="6664" max="6664" width="8.7109375" style="45" customWidth="1"/>
    <col min="6665" max="6665" width="9.5703125" style="45" customWidth="1"/>
    <col min="6666" max="6666" width="18.28515625" style="45" customWidth="1"/>
    <col min="6667" max="6667" width="10.7109375" style="45" customWidth="1"/>
    <col min="6668" max="6668" width="8.140625" style="45" customWidth="1"/>
    <col min="6669" max="6669" width="8.85546875" style="45" customWidth="1"/>
    <col min="6670" max="6670" width="11.140625" style="45" customWidth="1"/>
    <col min="6671" max="6671" width="7.42578125" style="45" customWidth="1"/>
    <col min="6672" max="6672" width="14.140625" style="45" customWidth="1"/>
    <col min="6673" max="6912" width="6.7109375" style="45"/>
    <col min="6913" max="6913" width="9.5703125" style="45" customWidth="1"/>
    <col min="6914" max="6914" width="10.5703125" style="45" customWidth="1"/>
    <col min="6915" max="6915" width="11.7109375" style="45" customWidth="1"/>
    <col min="6916" max="6916" width="15.42578125" style="45" customWidth="1"/>
    <col min="6917" max="6917" width="18.28515625" style="45" customWidth="1"/>
    <col min="6918" max="6918" width="11" style="45" customWidth="1"/>
    <col min="6919" max="6919" width="12" style="45" customWidth="1"/>
    <col min="6920" max="6920" width="8.7109375" style="45" customWidth="1"/>
    <col min="6921" max="6921" width="9.5703125" style="45" customWidth="1"/>
    <col min="6922" max="6922" width="18.28515625" style="45" customWidth="1"/>
    <col min="6923" max="6923" width="10.7109375" style="45" customWidth="1"/>
    <col min="6924" max="6924" width="8.140625" style="45" customWidth="1"/>
    <col min="6925" max="6925" width="8.85546875" style="45" customWidth="1"/>
    <col min="6926" max="6926" width="11.140625" style="45" customWidth="1"/>
    <col min="6927" max="6927" width="7.42578125" style="45" customWidth="1"/>
    <col min="6928" max="6928" width="14.140625" style="45" customWidth="1"/>
    <col min="6929" max="7168" width="6.7109375" style="45"/>
    <col min="7169" max="7169" width="9.5703125" style="45" customWidth="1"/>
    <col min="7170" max="7170" width="10.5703125" style="45" customWidth="1"/>
    <col min="7171" max="7171" width="11.7109375" style="45" customWidth="1"/>
    <col min="7172" max="7172" width="15.42578125" style="45" customWidth="1"/>
    <col min="7173" max="7173" width="18.28515625" style="45" customWidth="1"/>
    <col min="7174" max="7174" width="11" style="45" customWidth="1"/>
    <col min="7175" max="7175" width="12" style="45" customWidth="1"/>
    <col min="7176" max="7176" width="8.7109375" style="45" customWidth="1"/>
    <col min="7177" max="7177" width="9.5703125" style="45" customWidth="1"/>
    <col min="7178" max="7178" width="18.28515625" style="45" customWidth="1"/>
    <col min="7179" max="7179" width="10.7109375" style="45" customWidth="1"/>
    <col min="7180" max="7180" width="8.140625" style="45" customWidth="1"/>
    <col min="7181" max="7181" width="8.85546875" style="45" customWidth="1"/>
    <col min="7182" max="7182" width="11.140625" style="45" customWidth="1"/>
    <col min="7183" max="7183" width="7.42578125" style="45" customWidth="1"/>
    <col min="7184" max="7184" width="14.140625" style="45" customWidth="1"/>
    <col min="7185" max="7424" width="6.7109375" style="45"/>
    <col min="7425" max="7425" width="9.5703125" style="45" customWidth="1"/>
    <col min="7426" max="7426" width="10.5703125" style="45" customWidth="1"/>
    <col min="7427" max="7427" width="11.7109375" style="45" customWidth="1"/>
    <col min="7428" max="7428" width="15.42578125" style="45" customWidth="1"/>
    <col min="7429" max="7429" width="18.28515625" style="45" customWidth="1"/>
    <col min="7430" max="7430" width="11" style="45" customWidth="1"/>
    <col min="7431" max="7431" width="12" style="45" customWidth="1"/>
    <col min="7432" max="7432" width="8.7109375" style="45" customWidth="1"/>
    <col min="7433" max="7433" width="9.5703125" style="45" customWidth="1"/>
    <col min="7434" max="7434" width="18.28515625" style="45" customWidth="1"/>
    <col min="7435" max="7435" width="10.7109375" style="45" customWidth="1"/>
    <col min="7436" max="7436" width="8.140625" style="45" customWidth="1"/>
    <col min="7437" max="7437" width="8.85546875" style="45" customWidth="1"/>
    <col min="7438" max="7438" width="11.140625" style="45" customWidth="1"/>
    <col min="7439" max="7439" width="7.42578125" style="45" customWidth="1"/>
    <col min="7440" max="7440" width="14.140625" style="45" customWidth="1"/>
    <col min="7441" max="7680" width="6.7109375" style="45"/>
    <col min="7681" max="7681" width="9.5703125" style="45" customWidth="1"/>
    <col min="7682" max="7682" width="10.5703125" style="45" customWidth="1"/>
    <col min="7683" max="7683" width="11.7109375" style="45" customWidth="1"/>
    <col min="7684" max="7684" width="15.42578125" style="45" customWidth="1"/>
    <col min="7685" max="7685" width="18.28515625" style="45" customWidth="1"/>
    <col min="7686" max="7686" width="11" style="45" customWidth="1"/>
    <col min="7687" max="7687" width="12" style="45" customWidth="1"/>
    <col min="7688" max="7688" width="8.7109375" style="45" customWidth="1"/>
    <col min="7689" max="7689" width="9.5703125" style="45" customWidth="1"/>
    <col min="7690" max="7690" width="18.28515625" style="45" customWidth="1"/>
    <col min="7691" max="7691" width="10.7109375" style="45" customWidth="1"/>
    <col min="7692" max="7692" width="8.140625" style="45" customWidth="1"/>
    <col min="7693" max="7693" width="8.85546875" style="45" customWidth="1"/>
    <col min="7694" max="7694" width="11.140625" style="45" customWidth="1"/>
    <col min="7695" max="7695" width="7.42578125" style="45" customWidth="1"/>
    <col min="7696" max="7696" width="14.140625" style="45" customWidth="1"/>
    <col min="7697" max="7936" width="6.7109375" style="45"/>
    <col min="7937" max="7937" width="9.5703125" style="45" customWidth="1"/>
    <col min="7938" max="7938" width="10.5703125" style="45" customWidth="1"/>
    <col min="7939" max="7939" width="11.7109375" style="45" customWidth="1"/>
    <col min="7940" max="7940" width="15.42578125" style="45" customWidth="1"/>
    <col min="7941" max="7941" width="18.28515625" style="45" customWidth="1"/>
    <col min="7942" max="7942" width="11" style="45" customWidth="1"/>
    <col min="7943" max="7943" width="12" style="45" customWidth="1"/>
    <col min="7944" max="7944" width="8.7109375" style="45" customWidth="1"/>
    <col min="7945" max="7945" width="9.5703125" style="45" customWidth="1"/>
    <col min="7946" max="7946" width="18.28515625" style="45" customWidth="1"/>
    <col min="7947" max="7947" width="10.7109375" style="45" customWidth="1"/>
    <col min="7948" max="7948" width="8.140625" style="45" customWidth="1"/>
    <col min="7949" max="7949" width="8.85546875" style="45" customWidth="1"/>
    <col min="7950" max="7950" width="11.140625" style="45" customWidth="1"/>
    <col min="7951" max="7951" width="7.42578125" style="45" customWidth="1"/>
    <col min="7952" max="7952" width="14.140625" style="45" customWidth="1"/>
    <col min="7953" max="8192" width="6.7109375" style="45"/>
    <col min="8193" max="8193" width="9.5703125" style="45" customWidth="1"/>
    <col min="8194" max="8194" width="10.5703125" style="45" customWidth="1"/>
    <col min="8195" max="8195" width="11.7109375" style="45" customWidth="1"/>
    <col min="8196" max="8196" width="15.42578125" style="45" customWidth="1"/>
    <col min="8197" max="8197" width="18.28515625" style="45" customWidth="1"/>
    <col min="8198" max="8198" width="11" style="45" customWidth="1"/>
    <col min="8199" max="8199" width="12" style="45" customWidth="1"/>
    <col min="8200" max="8200" width="8.7109375" style="45" customWidth="1"/>
    <col min="8201" max="8201" width="9.5703125" style="45" customWidth="1"/>
    <col min="8202" max="8202" width="18.28515625" style="45" customWidth="1"/>
    <col min="8203" max="8203" width="10.7109375" style="45" customWidth="1"/>
    <col min="8204" max="8204" width="8.140625" style="45" customWidth="1"/>
    <col min="8205" max="8205" width="8.85546875" style="45" customWidth="1"/>
    <col min="8206" max="8206" width="11.140625" style="45" customWidth="1"/>
    <col min="8207" max="8207" width="7.42578125" style="45" customWidth="1"/>
    <col min="8208" max="8208" width="14.140625" style="45" customWidth="1"/>
    <col min="8209" max="8448" width="6.7109375" style="45"/>
    <col min="8449" max="8449" width="9.5703125" style="45" customWidth="1"/>
    <col min="8450" max="8450" width="10.5703125" style="45" customWidth="1"/>
    <col min="8451" max="8451" width="11.7109375" style="45" customWidth="1"/>
    <col min="8452" max="8452" width="15.42578125" style="45" customWidth="1"/>
    <col min="8453" max="8453" width="18.28515625" style="45" customWidth="1"/>
    <col min="8454" max="8454" width="11" style="45" customWidth="1"/>
    <col min="8455" max="8455" width="12" style="45" customWidth="1"/>
    <col min="8456" max="8456" width="8.7109375" style="45" customWidth="1"/>
    <col min="8457" max="8457" width="9.5703125" style="45" customWidth="1"/>
    <col min="8458" max="8458" width="18.28515625" style="45" customWidth="1"/>
    <col min="8459" max="8459" width="10.7109375" style="45" customWidth="1"/>
    <col min="8460" max="8460" width="8.140625" style="45" customWidth="1"/>
    <col min="8461" max="8461" width="8.85546875" style="45" customWidth="1"/>
    <col min="8462" max="8462" width="11.140625" style="45" customWidth="1"/>
    <col min="8463" max="8463" width="7.42578125" style="45" customWidth="1"/>
    <col min="8464" max="8464" width="14.140625" style="45" customWidth="1"/>
    <col min="8465" max="8704" width="6.7109375" style="45"/>
    <col min="8705" max="8705" width="9.5703125" style="45" customWidth="1"/>
    <col min="8706" max="8706" width="10.5703125" style="45" customWidth="1"/>
    <col min="8707" max="8707" width="11.7109375" style="45" customWidth="1"/>
    <col min="8708" max="8708" width="15.42578125" style="45" customWidth="1"/>
    <col min="8709" max="8709" width="18.28515625" style="45" customWidth="1"/>
    <col min="8710" max="8710" width="11" style="45" customWidth="1"/>
    <col min="8711" max="8711" width="12" style="45" customWidth="1"/>
    <col min="8712" max="8712" width="8.7109375" style="45" customWidth="1"/>
    <col min="8713" max="8713" width="9.5703125" style="45" customWidth="1"/>
    <col min="8714" max="8714" width="18.28515625" style="45" customWidth="1"/>
    <col min="8715" max="8715" width="10.7109375" style="45" customWidth="1"/>
    <col min="8716" max="8716" width="8.140625" style="45" customWidth="1"/>
    <col min="8717" max="8717" width="8.85546875" style="45" customWidth="1"/>
    <col min="8718" max="8718" width="11.140625" style="45" customWidth="1"/>
    <col min="8719" max="8719" width="7.42578125" style="45" customWidth="1"/>
    <col min="8720" max="8720" width="14.140625" style="45" customWidth="1"/>
    <col min="8721" max="8960" width="6.7109375" style="45"/>
    <col min="8961" max="8961" width="9.5703125" style="45" customWidth="1"/>
    <col min="8962" max="8962" width="10.5703125" style="45" customWidth="1"/>
    <col min="8963" max="8963" width="11.7109375" style="45" customWidth="1"/>
    <col min="8964" max="8964" width="15.42578125" style="45" customWidth="1"/>
    <col min="8965" max="8965" width="18.28515625" style="45" customWidth="1"/>
    <col min="8966" max="8966" width="11" style="45" customWidth="1"/>
    <col min="8967" max="8967" width="12" style="45" customWidth="1"/>
    <col min="8968" max="8968" width="8.7109375" style="45" customWidth="1"/>
    <col min="8969" max="8969" width="9.5703125" style="45" customWidth="1"/>
    <col min="8970" max="8970" width="18.28515625" style="45" customWidth="1"/>
    <col min="8971" max="8971" width="10.7109375" style="45" customWidth="1"/>
    <col min="8972" max="8972" width="8.140625" style="45" customWidth="1"/>
    <col min="8973" max="8973" width="8.85546875" style="45" customWidth="1"/>
    <col min="8974" max="8974" width="11.140625" style="45" customWidth="1"/>
    <col min="8975" max="8975" width="7.42578125" style="45" customWidth="1"/>
    <col min="8976" max="8976" width="14.140625" style="45" customWidth="1"/>
    <col min="8977" max="9216" width="6.7109375" style="45"/>
    <col min="9217" max="9217" width="9.5703125" style="45" customWidth="1"/>
    <col min="9218" max="9218" width="10.5703125" style="45" customWidth="1"/>
    <col min="9219" max="9219" width="11.7109375" style="45" customWidth="1"/>
    <col min="9220" max="9220" width="15.42578125" style="45" customWidth="1"/>
    <col min="9221" max="9221" width="18.28515625" style="45" customWidth="1"/>
    <col min="9222" max="9222" width="11" style="45" customWidth="1"/>
    <col min="9223" max="9223" width="12" style="45" customWidth="1"/>
    <col min="9224" max="9224" width="8.7109375" style="45" customWidth="1"/>
    <col min="9225" max="9225" width="9.5703125" style="45" customWidth="1"/>
    <col min="9226" max="9226" width="18.28515625" style="45" customWidth="1"/>
    <col min="9227" max="9227" width="10.7109375" style="45" customWidth="1"/>
    <col min="9228" max="9228" width="8.140625" style="45" customWidth="1"/>
    <col min="9229" max="9229" width="8.85546875" style="45" customWidth="1"/>
    <col min="9230" max="9230" width="11.140625" style="45" customWidth="1"/>
    <col min="9231" max="9231" width="7.42578125" style="45" customWidth="1"/>
    <col min="9232" max="9232" width="14.140625" style="45" customWidth="1"/>
    <col min="9233" max="9472" width="6.7109375" style="45"/>
    <col min="9473" max="9473" width="9.5703125" style="45" customWidth="1"/>
    <col min="9474" max="9474" width="10.5703125" style="45" customWidth="1"/>
    <col min="9475" max="9475" width="11.7109375" style="45" customWidth="1"/>
    <col min="9476" max="9476" width="15.42578125" style="45" customWidth="1"/>
    <col min="9477" max="9477" width="18.28515625" style="45" customWidth="1"/>
    <col min="9478" max="9478" width="11" style="45" customWidth="1"/>
    <col min="9479" max="9479" width="12" style="45" customWidth="1"/>
    <col min="9480" max="9480" width="8.7109375" style="45" customWidth="1"/>
    <col min="9481" max="9481" width="9.5703125" style="45" customWidth="1"/>
    <col min="9482" max="9482" width="18.28515625" style="45" customWidth="1"/>
    <col min="9483" max="9483" width="10.7109375" style="45" customWidth="1"/>
    <col min="9484" max="9484" width="8.140625" style="45" customWidth="1"/>
    <col min="9485" max="9485" width="8.85546875" style="45" customWidth="1"/>
    <col min="9486" max="9486" width="11.140625" style="45" customWidth="1"/>
    <col min="9487" max="9487" width="7.42578125" style="45" customWidth="1"/>
    <col min="9488" max="9488" width="14.140625" style="45" customWidth="1"/>
    <col min="9489" max="9728" width="6.7109375" style="45"/>
    <col min="9729" max="9729" width="9.5703125" style="45" customWidth="1"/>
    <col min="9730" max="9730" width="10.5703125" style="45" customWidth="1"/>
    <col min="9731" max="9731" width="11.7109375" style="45" customWidth="1"/>
    <col min="9732" max="9732" width="15.42578125" style="45" customWidth="1"/>
    <col min="9733" max="9733" width="18.28515625" style="45" customWidth="1"/>
    <col min="9734" max="9734" width="11" style="45" customWidth="1"/>
    <col min="9735" max="9735" width="12" style="45" customWidth="1"/>
    <col min="9736" max="9736" width="8.7109375" style="45" customWidth="1"/>
    <col min="9737" max="9737" width="9.5703125" style="45" customWidth="1"/>
    <col min="9738" max="9738" width="18.28515625" style="45" customWidth="1"/>
    <col min="9739" max="9739" width="10.7109375" style="45" customWidth="1"/>
    <col min="9740" max="9740" width="8.140625" style="45" customWidth="1"/>
    <col min="9741" max="9741" width="8.85546875" style="45" customWidth="1"/>
    <col min="9742" max="9742" width="11.140625" style="45" customWidth="1"/>
    <col min="9743" max="9743" width="7.42578125" style="45" customWidth="1"/>
    <col min="9744" max="9744" width="14.140625" style="45" customWidth="1"/>
    <col min="9745" max="9984" width="6.7109375" style="45"/>
    <col min="9985" max="9985" width="9.5703125" style="45" customWidth="1"/>
    <col min="9986" max="9986" width="10.5703125" style="45" customWidth="1"/>
    <col min="9987" max="9987" width="11.7109375" style="45" customWidth="1"/>
    <col min="9988" max="9988" width="15.42578125" style="45" customWidth="1"/>
    <col min="9989" max="9989" width="18.28515625" style="45" customWidth="1"/>
    <col min="9990" max="9990" width="11" style="45" customWidth="1"/>
    <col min="9991" max="9991" width="12" style="45" customWidth="1"/>
    <col min="9992" max="9992" width="8.7109375" style="45" customWidth="1"/>
    <col min="9993" max="9993" width="9.5703125" style="45" customWidth="1"/>
    <col min="9994" max="9994" width="18.28515625" style="45" customWidth="1"/>
    <col min="9995" max="9995" width="10.7109375" style="45" customWidth="1"/>
    <col min="9996" max="9996" width="8.140625" style="45" customWidth="1"/>
    <col min="9997" max="9997" width="8.85546875" style="45" customWidth="1"/>
    <col min="9998" max="9998" width="11.140625" style="45" customWidth="1"/>
    <col min="9999" max="9999" width="7.42578125" style="45" customWidth="1"/>
    <col min="10000" max="10000" width="14.140625" style="45" customWidth="1"/>
    <col min="10001" max="10240" width="6.7109375" style="45"/>
    <col min="10241" max="10241" width="9.5703125" style="45" customWidth="1"/>
    <col min="10242" max="10242" width="10.5703125" style="45" customWidth="1"/>
    <col min="10243" max="10243" width="11.7109375" style="45" customWidth="1"/>
    <col min="10244" max="10244" width="15.42578125" style="45" customWidth="1"/>
    <col min="10245" max="10245" width="18.28515625" style="45" customWidth="1"/>
    <col min="10246" max="10246" width="11" style="45" customWidth="1"/>
    <col min="10247" max="10247" width="12" style="45" customWidth="1"/>
    <col min="10248" max="10248" width="8.7109375" style="45" customWidth="1"/>
    <col min="10249" max="10249" width="9.5703125" style="45" customWidth="1"/>
    <col min="10250" max="10250" width="18.28515625" style="45" customWidth="1"/>
    <col min="10251" max="10251" width="10.7109375" style="45" customWidth="1"/>
    <col min="10252" max="10252" width="8.140625" style="45" customWidth="1"/>
    <col min="10253" max="10253" width="8.85546875" style="45" customWidth="1"/>
    <col min="10254" max="10254" width="11.140625" style="45" customWidth="1"/>
    <col min="10255" max="10255" width="7.42578125" style="45" customWidth="1"/>
    <col min="10256" max="10256" width="14.140625" style="45" customWidth="1"/>
    <col min="10257" max="10496" width="6.7109375" style="45"/>
    <col min="10497" max="10497" width="9.5703125" style="45" customWidth="1"/>
    <col min="10498" max="10498" width="10.5703125" style="45" customWidth="1"/>
    <col min="10499" max="10499" width="11.7109375" style="45" customWidth="1"/>
    <col min="10500" max="10500" width="15.42578125" style="45" customWidth="1"/>
    <col min="10501" max="10501" width="18.28515625" style="45" customWidth="1"/>
    <col min="10502" max="10502" width="11" style="45" customWidth="1"/>
    <col min="10503" max="10503" width="12" style="45" customWidth="1"/>
    <col min="10504" max="10504" width="8.7109375" style="45" customWidth="1"/>
    <col min="10505" max="10505" width="9.5703125" style="45" customWidth="1"/>
    <col min="10506" max="10506" width="18.28515625" style="45" customWidth="1"/>
    <col min="10507" max="10507" width="10.7109375" style="45" customWidth="1"/>
    <col min="10508" max="10508" width="8.140625" style="45" customWidth="1"/>
    <col min="10509" max="10509" width="8.85546875" style="45" customWidth="1"/>
    <col min="10510" max="10510" width="11.140625" style="45" customWidth="1"/>
    <col min="10511" max="10511" width="7.42578125" style="45" customWidth="1"/>
    <col min="10512" max="10512" width="14.140625" style="45" customWidth="1"/>
    <col min="10513" max="10752" width="6.7109375" style="45"/>
    <col min="10753" max="10753" width="9.5703125" style="45" customWidth="1"/>
    <col min="10754" max="10754" width="10.5703125" style="45" customWidth="1"/>
    <col min="10755" max="10755" width="11.7109375" style="45" customWidth="1"/>
    <col min="10756" max="10756" width="15.42578125" style="45" customWidth="1"/>
    <col min="10757" max="10757" width="18.28515625" style="45" customWidth="1"/>
    <col min="10758" max="10758" width="11" style="45" customWidth="1"/>
    <col min="10759" max="10759" width="12" style="45" customWidth="1"/>
    <col min="10760" max="10760" width="8.7109375" style="45" customWidth="1"/>
    <col min="10761" max="10761" width="9.5703125" style="45" customWidth="1"/>
    <col min="10762" max="10762" width="18.28515625" style="45" customWidth="1"/>
    <col min="10763" max="10763" width="10.7109375" style="45" customWidth="1"/>
    <col min="10764" max="10764" width="8.140625" style="45" customWidth="1"/>
    <col min="10765" max="10765" width="8.85546875" style="45" customWidth="1"/>
    <col min="10766" max="10766" width="11.140625" style="45" customWidth="1"/>
    <col min="10767" max="10767" width="7.42578125" style="45" customWidth="1"/>
    <col min="10768" max="10768" width="14.140625" style="45" customWidth="1"/>
    <col min="10769" max="11008" width="6.7109375" style="45"/>
    <col min="11009" max="11009" width="9.5703125" style="45" customWidth="1"/>
    <col min="11010" max="11010" width="10.5703125" style="45" customWidth="1"/>
    <col min="11011" max="11011" width="11.7109375" style="45" customWidth="1"/>
    <col min="11012" max="11012" width="15.42578125" style="45" customWidth="1"/>
    <col min="11013" max="11013" width="18.28515625" style="45" customWidth="1"/>
    <col min="11014" max="11014" width="11" style="45" customWidth="1"/>
    <col min="11015" max="11015" width="12" style="45" customWidth="1"/>
    <col min="11016" max="11016" width="8.7109375" style="45" customWidth="1"/>
    <col min="11017" max="11017" width="9.5703125" style="45" customWidth="1"/>
    <col min="11018" max="11018" width="18.28515625" style="45" customWidth="1"/>
    <col min="11019" max="11019" width="10.7109375" style="45" customWidth="1"/>
    <col min="11020" max="11020" width="8.140625" style="45" customWidth="1"/>
    <col min="11021" max="11021" width="8.85546875" style="45" customWidth="1"/>
    <col min="11022" max="11022" width="11.140625" style="45" customWidth="1"/>
    <col min="11023" max="11023" width="7.42578125" style="45" customWidth="1"/>
    <col min="11024" max="11024" width="14.140625" style="45" customWidth="1"/>
    <col min="11025" max="11264" width="6.7109375" style="45"/>
    <col min="11265" max="11265" width="9.5703125" style="45" customWidth="1"/>
    <col min="11266" max="11266" width="10.5703125" style="45" customWidth="1"/>
    <col min="11267" max="11267" width="11.7109375" style="45" customWidth="1"/>
    <col min="11268" max="11268" width="15.42578125" style="45" customWidth="1"/>
    <col min="11269" max="11269" width="18.28515625" style="45" customWidth="1"/>
    <col min="11270" max="11270" width="11" style="45" customWidth="1"/>
    <col min="11271" max="11271" width="12" style="45" customWidth="1"/>
    <col min="11272" max="11272" width="8.7109375" style="45" customWidth="1"/>
    <col min="11273" max="11273" width="9.5703125" style="45" customWidth="1"/>
    <col min="11274" max="11274" width="18.28515625" style="45" customWidth="1"/>
    <col min="11275" max="11275" width="10.7109375" style="45" customWidth="1"/>
    <col min="11276" max="11276" width="8.140625" style="45" customWidth="1"/>
    <col min="11277" max="11277" width="8.85546875" style="45" customWidth="1"/>
    <col min="11278" max="11278" width="11.140625" style="45" customWidth="1"/>
    <col min="11279" max="11279" width="7.42578125" style="45" customWidth="1"/>
    <col min="11280" max="11280" width="14.140625" style="45" customWidth="1"/>
    <col min="11281" max="11520" width="6.7109375" style="45"/>
    <col min="11521" max="11521" width="9.5703125" style="45" customWidth="1"/>
    <col min="11522" max="11522" width="10.5703125" style="45" customWidth="1"/>
    <col min="11523" max="11523" width="11.7109375" style="45" customWidth="1"/>
    <col min="11524" max="11524" width="15.42578125" style="45" customWidth="1"/>
    <col min="11525" max="11525" width="18.28515625" style="45" customWidth="1"/>
    <col min="11526" max="11526" width="11" style="45" customWidth="1"/>
    <col min="11527" max="11527" width="12" style="45" customWidth="1"/>
    <col min="11528" max="11528" width="8.7109375" style="45" customWidth="1"/>
    <col min="11529" max="11529" width="9.5703125" style="45" customWidth="1"/>
    <col min="11530" max="11530" width="18.28515625" style="45" customWidth="1"/>
    <col min="11531" max="11531" width="10.7109375" style="45" customWidth="1"/>
    <col min="11532" max="11532" width="8.140625" style="45" customWidth="1"/>
    <col min="11533" max="11533" width="8.85546875" style="45" customWidth="1"/>
    <col min="11534" max="11534" width="11.140625" style="45" customWidth="1"/>
    <col min="11535" max="11535" width="7.42578125" style="45" customWidth="1"/>
    <col min="11536" max="11536" width="14.140625" style="45" customWidth="1"/>
    <col min="11537" max="11776" width="6.7109375" style="45"/>
    <col min="11777" max="11777" width="9.5703125" style="45" customWidth="1"/>
    <col min="11778" max="11778" width="10.5703125" style="45" customWidth="1"/>
    <col min="11779" max="11779" width="11.7109375" style="45" customWidth="1"/>
    <col min="11780" max="11780" width="15.42578125" style="45" customWidth="1"/>
    <col min="11781" max="11781" width="18.28515625" style="45" customWidth="1"/>
    <col min="11782" max="11782" width="11" style="45" customWidth="1"/>
    <col min="11783" max="11783" width="12" style="45" customWidth="1"/>
    <col min="11784" max="11784" width="8.7109375" style="45" customWidth="1"/>
    <col min="11785" max="11785" width="9.5703125" style="45" customWidth="1"/>
    <col min="11786" max="11786" width="18.28515625" style="45" customWidth="1"/>
    <col min="11787" max="11787" width="10.7109375" style="45" customWidth="1"/>
    <col min="11788" max="11788" width="8.140625" style="45" customWidth="1"/>
    <col min="11789" max="11789" width="8.85546875" style="45" customWidth="1"/>
    <col min="11790" max="11790" width="11.140625" style="45" customWidth="1"/>
    <col min="11791" max="11791" width="7.42578125" style="45" customWidth="1"/>
    <col min="11792" max="11792" width="14.140625" style="45" customWidth="1"/>
    <col min="11793" max="12032" width="6.7109375" style="45"/>
    <col min="12033" max="12033" width="9.5703125" style="45" customWidth="1"/>
    <col min="12034" max="12034" width="10.5703125" style="45" customWidth="1"/>
    <col min="12035" max="12035" width="11.7109375" style="45" customWidth="1"/>
    <col min="12036" max="12036" width="15.42578125" style="45" customWidth="1"/>
    <col min="12037" max="12037" width="18.28515625" style="45" customWidth="1"/>
    <col min="12038" max="12038" width="11" style="45" customWidth="1"/>
    <col min="12039" max="12039" width="12" style="45" customWidth="1"/>
    <col min="12040" max="12040" width="8.7109375" style="45" customWidth="1"/>
    <col min="12041" max="12041" width="9.5703125" style="45" customWidth="1"/>
    <col min="12042" max="12042" width="18.28515625" style="45" customWidth="1"/>
    <col min="12043" max="12043" width="10.7109375" style="45" customWidth="1"/>
    <col min="12044" max="12044" width="8.140625" style="45" customWidth="1"/>
    <col min="12045" max="12045" width="8.85546875" style="45" customWidth="1"/>
    <col min="12046" max="12046" width="11.140625" style="45" customWidth="1"/>
    <col min="12047" max="12047" width="7.42578125" style="45" customWidth="1"/>
    <col min="12048" max="12048" width="14.140625" style="45" customWidth="1"/>
    <col min="12049" max="12288" width="6.7109375" style="45"/>
    <col min="12289" max="12289" width="9.5703125" style="45" customWidth="1"/>
    <col min="12290" max="12290" width="10.5703125" style="45" customWidth="1"/>
    <col min="12291" max="12291" width="11.7109375" style="45" customWidth="1"/>
    <col min="12292" max="12292" width="15.42578125" style="45" customWidth="1"/>
    <col min="12293" max="12293" width="18.28515625" style="45" customWidth="1"/>
    <col min="12294" max="12294" width="11" style="45" customWidth="1"/>
    <col min="12295" max="12295" width="12" style="45" customWidth="1"/>
    <col min="12296" max="12296" width="8.7109375" style="45" customWidth="1"/>
    <col min="12297" max="12297" width="9.5703125" style="45" customWidth="1"/>
    <col min="12298" max="12298" width="18.28515625" style="45" customWidth="1"/>
    <col min="12299" max="12299" width="10.7109375" style="45" customWidth="1"/>
    <col min="12300" max="12300" width="8.140625" style="45" customWidth="1"/>
    <col min="12301" max="12301" width="8.85546875" style="45" customWidth="1"/>
    <col min="12302" max="12302" width="11.140625" style="45" customWidth="1"/>
    <col min="12303" max="12303" width="7.42578125" style="45" customWidth="1"/>
    <col min="12304" max="12304" width="14.140625" style="45" customWidth="1"/>
    <col min="12305" max="12544" width="6.7109375" style="45"/>
    <col min="12545" max="12545" width="9.5703125" style="45" customWidth="1"/>
    <col min="12546" max="12546" width="10.5703125" style="45" customWidth="1"/>
    <col min="12547" max="12547" width="11.7109375" style="45" customWidth="1"/>
    <col min="12548" max="12548" width="15.42578125" style="45" customWidth="1"/>
    <col min="12549" max="12549" width="18.28515625" style="45" customWidth="1"/>
    <col min="12550" max="12550" width="11" style="45" customWidth="1"/>
    <col min="12551" max="12551" width="12" style="45" customWidth="1"/>
    <col min="12552" max="12552" width="8.7109375" style="45" customWidth="1"/>
    <col min="12553" max="12553" width="9.5703125" style="45" customWidth="1"/>
    <col min="12554" max="12554" width="18.28515625" style="45" customWidth="1"/>
    <col min="12555" max="12555" width="10.7109375" style="45" customWidth="1"/>
    <col min="12556" max="12556" width="8.140625" style="45" customWidth="1"/>
    <col min="12557" max="12557" width="8.85546875" style="45" customWidth="1"/>
    <col min="12558" max="12558" width="11.140625" style="45" customWidth="1"/>
    <col min="12559" max="12559" width="7.42578125" style="45" customWidth="1"/>
    <col min="12560" max="12560" width="14.140625" style="45" customWidth="1"/>
    <col min="12561" max="12800" width="6.7109375" style="45"/>
    <col min="12801" max="12801" width="9.5703125" style="45" customWidth="1"/>
    <col min="12802" max="12802" width="10.5703125" style="45" customWidth="1"/>
    <col min="12803" max="12803" width="11.7109375" style="45" customWidth="1"/>
    <col min="12804" max="12804" width="15.42578125" style="45" customWidth="1"/>
    <col min="12805" max="12805" width="18.28515625" style="45" customWidth="1"/>
    <col min="12806" max="12806" width="11" style="45" customWidth="1"/>
    <col min="12807" max="12807" width="12" style="45" customWidth="1"/>
    <col min="12808" max="12808" width="8.7109375" style="45" customWidth="1"/>
    <col min="12809" max="12809" width="9.5703125" style="45" customWidth="1"/>
    <col min="12810" max="12810" width="18.28515625" style="45" customWidth="1"/>
    <col min="12811" max="12811" width="10.7109375" style="45" customWidth="1"/>
    <col min="12812" max="12812" width="8.140625" style="45" customWidth="1"/>
    <col min="12813" max="12813" width="8.85546875" style="45" customWidth="1"/>
    <col min="12814" max="12814" width="11.140625" style="45" customWidth="1"/>
    <col min="12815" max="12815" width="7.42578125" style="45" customWidth="1"/>
    <col min="12816" max="12816" width="14.140625" style="45" customWidth="1"/>
    <col min="12817" max="13056" width="6.7109375" style="45"/>
    <col min="13057" max="13057" width="9.5703125" style="45" customWidth="1"/>
    <col min="13058" max="13058" width="10.5703125" style="45" customWidth="1"/>
    <col min="13059" max="13059" width="11.7109375" style="45" customWidth="1"/>
    <col min="13060" max="13060" width="15.42578125" style="45" customWidth="1"/>
    <col min="13061" max="13061" width="18.28515625" style="45" customWidth="1"/>
    <col min="13062" max="13062" width="11" style="45" customWidth="1"/>
    <col min="13063" max="13063" width="12" style="45" customWidth="1"/>
    <col min="13064" max="13064" width="8.7109375" style="45" customWidth="1"/>
    <col min="13065" max="13065" width="9.5703125" style="45" customWidth="1"/>
    <col min="13066" max="13066" width="18.28515625" style="45" customWidth="1"/>
    <col min="13067" max="13067" width="10.7109375" style="45" customWidth="1"/>
    <col min="13068" max="13068" width="8.140625" style="45" customWidth="1"/>
    <col min="13069" max="13069" width="8.85546875" style="45" customWidth="1"/>
    <col min="13070" max="13070" width="11.140625" style="45" customWidth="1"/>
    <col min="13071" max="13071" width="7.42578125" style="45" customWidth="1"/>
    <col min="13072" max="13072" width="14.140625" style="45" customWidth="1"/>
    <col min="13073" max="13312" width="6.7109375" style="45"/>
    <col min="13313" max="13313" width="9.5703125" style="45" customWidth="1"/>
    <col min="13314" max="13314" width="10.5703125" style="45" customWidth="1"/>
    <col min="13315" max="13315" width="11.7109375" style="45" customWidth="1"/>
    <col min="13316" max="13316" width="15.42578125" style="45" customWidth="1"/>
    <col min="13317" max="13317" width="18.28515625" style="45" customWidth="1"/>
    <col min="13318" max="13318" width="11" style="45" customWidth="1"/>
    <col min="13319" max="13319" width="12" style="45" customWidth="1"/>
    <col min="13320" max="13320" width="8.7109375" style="45" customWidth="1"/>
    <col min="13321" max="13321" width="9.5703125" style="45" customWidth="1"/>
    <col min="13322" max="13322" width="18.28515625" style="45" customWidth="1"/>
    <col min="13323" max="13323" width="10.7109375" style="45" customWidth="1"/>
    <col min="13324" max="13324" width="8.140625" style="45" customWidth="1"/>
    <col min="13325" max="13325" width="8.85546875" style="45" customWidth="1"/>
    <col min="13326" max="13326" width="11.140625" style="45" customWidth="1"/>
    <col min="13327" max="13327" width="7.42578125" style="45" customWidth="1"/>
    <col min="13328" max="13328" width="14.140625" style="45" customWidth="1"/>
    <col min="13329" max="13568" width="6.7109375" style="45"/>
    <col min="13569" max="13569" width="9.5703125" style="45" customWidth="1"/>
    <col min="13570" max="13570" width="10.5703125" style="45" customWidth="1"/>
    <col min="13571" max="13571" width="11.7109375" style="45" customWidth="1"/>
    <col min="13572" max="13572" width="15.42578125" style="45" customWidth="1"/>
    <col min="13573" max="13573" width="18.28515625" style="45" customWidth="1"/>
    <col min="13574" max="13574" width="11" style="45" customWidth="1"/>
    <col min="13575" max="13575" width="12" style="45" customWidth="1"/>
    <col min="13576" max="13576" width="8.7109375" style="45" customWidth="1"/>
    <col min="13577" max="13577" width="9.5703125" style="45" customWidth="1"/>
    <col min="13578" max="13578" width="18.28515625" style="45" customWidth="1"/>
    <col min="13579" max="13579" width="10.7109375" style="45" customWidth="1"/>
    <col min="13580" max="13580" width="8.140625" style="45" customWidth="1"/>
    <col min="13581" max="13581" width="8.85546875" style="45" customWidth="1"/>
    <col min="13582" max="13582" width="11.140625" style="45" customWidth="1"/>
    <col min="13583" max="13583" width="7.42578125" style="45" customWidth="1"/>
    <col min="13584" max="13584" width="14.140625" style="45" customWidth="1"/>
    <col min="13585" max="13824" width="6.7109375" style="45"/>
    <col min="13825" max="13825" width="9.5703125" style="45" customWidth="1"/>
    <col min="13826" max="13826" width="10.5703125" style="45" customWidth="1"/>
    <col min="13827" max="13827" width="11.7109375" style="45" customWidth="1"/>
    <col min="13828" max="13828" width="15.42578125" style="45" customWidth="1"/>
    <col min="13829" max="13829" width="18.28515625" style="45" customWidth="1"/>
    <col min="13830" max="13830" width="11" style="45" customWidth="1"/>
    <col min="13831" max="13831" width="12" style="45" customWidth="1"/>
    <col min="13832" max="13832" width="8.7109375" style="45" customWidth="1"/>
    <col min="13833" max="13833" width="9.5703125" style="45" customWidth="1"/>
    <col min="13834" max="13834" width="18.28515625" style="45" customWidth="1"/>
    <col min="13835" max="13835" width="10.7109375" style="45" customWidth="1"/>
    <col min="13836" max="13836" width="8.140625" style="45" customWidth="1"/>
    <col min="13837" max="13837" width="8.85546875" style="45" customWidth="1"/>
    <col min="13838" max="13838" width="11.140625" style="45" customWidth="1"/>
    <col min="13839" max="13839" width="7.42578125" style="45" customWidth="1"/>
    <col min="13840" max="13840" width="14.140625" style="45" customWidth="1"/>
    <col min="13841" max="14080" width="6.7109375" style="45"/>
    <col min="14081" max="14081" width="9.5703125" style="45" customWidth="1"/>
    <col min="14082" max="14082" width="10.5703125" style="45" customWidth="1"/>
    <col min="14083" max="14083" width="11.7109375" style="45" customWidth="1"/>
    <col min="14084" max="14084" width="15.42578125" style="45" customWidth="1"/>
    <col min="14085" max="14085" width="18.28515625" style="45" customWidth="1"/>
    <col min="14086" max="14086" width="11" style="45" customWidth="1"/>
    <col min="14087" max="14087" width="12" style="45" customWidth="1"/>
    <col min="14088" max="14088" width="8.7109375" style="45" customWidth="1"/>
    <col min="14089" max="14089" width="9.5703125" style="45" customWidth="1"/>
    <col min="14090" max="14090" width="18.28515625" style="45" customWidth="1"/>
    <col min="14091" max="14091" width="10.7109375" style="45" customWidth="1"/>
    <col min="14092" max="14092" width="8.140625" style="45" customWidth="1"/>
    <col min="14093" max="14093" width="8.85546875" style="45" customWidth="1"/>
    <col min="14094" max="14094" width="11.140625" style="45" customWidth="1"/>
    <col min="14095" max="14095" width="7.42578125" style="45" customWidth="1"/>
    <col min="14096" max="14096" width="14.140625" style="45" customWidth="1"/>
    <col min="14097" max="14336" width="6.7109375" style="45"/>
    <col min="14337" max="14337" width="9.5703125" style="45" customWidth="1"/>
    <col min="14338" max="14338" width="10.5703125" style="45" customWidth="1"/>
    <col min="14339" max="14339" width="11.7109375" style="45" customWidth="1"/>
    <col min="14340" max="14340" width="15.42578125" style="45" customWidth="1"/>
    <col min="14341" max="14341" width="18.28515625" style="45" customWidth="1"/>
    <col min="14342" max="14342" width="11" style="45" customWidth="1"/>
    <col min="14343" max="14343" width="12" style="45" customWidth="1"/>
    <col min="14344" max="14344" width="8.7109375" style="45" customWidth="1"/>
    <col min="14345" max="14345" width="9.5703125" style="45" customWidth="1"/>
    <col min="14346" max="14346" width="18.28515625" style="45" customWidth="1"/>
    <col min="14347" max="14347" width="10.7109375" style="45" customWidth="1"/>
    <col min="14348" max="14348" width="8.140625" style="45" customWidth="1"/>
    <col min="14349" max="14349" width="8.85546875" style="45" customWidth="1"/>
    <col min="14350" max="14350" width="11.140625" style="45" customWidth="1"/>
    <col min="14351" max="14351" width="7.42578125" style="45" customWidth="1"/>
    <col min="14352" max="14352" width="14.140625" style="45" customWidth="1"/>
    <col min="14353" max="14592" width="6.7109375" style="45"/>
    <col min="14593" max="14593" width="9.5703125" style="45" customWidth="1"/>
    <col min="14594" max="14594" width="10.5703125" style="45" customWidth="1"/>
    <col min="14595" max="14595" width="11.7109375" style="45" customWidth="1"/>
    <col min="14596" max="14596" width="15.42578125" style="45" customWidth="1"/>
    <col min="14597" max="14597" width="18.28515625" style="45" customWidth="1"/>
    <col min="14598" max="14598" width="11" style="45" customWidth="1"/>
    <col min="14599" max="14599" width="12" style="45" customWidth="1"/>
    <col min="14600" max="14600" width="8.7109375" style="45" customWidth="1"/>
    <col min="14601" max="14601" width="9.5703125" style="45" customWidth="1"/>
    <col min="14602" max="14602" width="18.28515625" style="45" customWidth="1"/>
    <col min="14603" max="14603" width="10.7109375" style="45" customWidth="1"/>
    <col min="14604" max="14604" width="8.140625" style="45" customWidth="1"/>
    <col min="14605" max="14605" width="8.85546875" style="45" customWidth="1"/>
    <col min="14606" max="14606" width="11.140625" style="45" customWidth="1"/>
    <col min="14607" max="14607" width="7.42578125" style="45" customWidth="1"/>
    <col min="14608" max="14608" width="14.140625" style="45" customWidth="1"/>
    <col min="14609" max="14848" width="6.7109375" style="45"/>
    <col min="14849" max="14849" width="9.5703125" style="45" customWidth="1"/>
    <col min="14850" max="14850" width="10.5703125" style="45" customWidth="1"/>
    <col min="14851" max="14851" width="11.7109375" style="45" customWidth="1"/>
    <col min="14852" max="14852" width="15.42578125" style="45" customWidth="1"/>
    <col min="14853" max="14853" width="18.28515625" style="45" customWidth="1"/>
    <col min="14854" max="14854" width="11" style="45" customWidth="1"/>
    <col min="14855" max="14855" width="12" style="45" customWidth="1"/>
    <col min="14856" max="14856" width="8.7109375" style="45" customWidth="1"/>
    <col min="14857" max="14857" width="9.5703125" style="45" customWidth="1"/>
    <col min="14858" max="14858" width="18.28515625" style="45" customWidth="1"/>
    <col min="14859" max="14859" width="10.7109375" style="45" customWidth="1"/>
    <col min="14860" max="14860" width="8.140625" style="45" customWidth="1"/>
    <col min="14861" max="14861" width="8.85546875" style="45" customWidth="1"/>
    <col min="14862" max="14862" width="11.140625" style="45" customWidth="1"/>
    <col min="14863" max="14863" width="7.42578125" style="45" customWidth="1"/>
    <col min="14864" max="14864" width="14.140625" style="45" customWidth="1"/>
    <col min="14865" max="15104" width="6.7109375" style="45"/>
    <col min="15105" max="15105" width="9.5703125" style="45" customWidth="1"/>
    <col min="15106" max="15106" width="10.5703125" style="45" customWidth="1"/>
    <col min="15107" max="15107" width="11.7109375" style="45" customWidth="1"/>
    <col min="15108" max="15108" width="15.42578125" style="45" customWidth="1"/>
    <col min="15109" max="15109" width="18.28515625" style="45" customWidth="1"/>
    <col min="15110" max="15110" width="11" style="45" customWidth="1"/>
    <col min="15111" max="15111" width="12" style="45" customWidth="1"/>
    <col min="15112" max="15112" width="8.7109375" style="45" customWidth="1"/>
    <col min="15113" max="15113" width="9.5703125" style="45" customWidth="1"/>
    <col min="15114" max="15114" width="18.28515625" style="45" customWidth="1"/>
    <col min="15115" max="15115" width="10.7109375" style="45" customWidth="1"/>
    <col min="15116" max="15116" width="8.140625" style="45" customWidth="1"/>
    <col min="15117" max="15117" width="8.85546875" style="45" customWidth="1"/>
    <col min="15118" max="15118" width="11.140625" style="45" customWidth="1"/>
    <col min="15119" max="15119" width="7.42578125" style="45" customWidth="1"/>
    <col min="15120" max="15120" width="14.140625" style="45" customWidth="1"/>
    <col min="15121" max="15360" width="6.7109375" style="45"/>
    <col min="15361" max="15361" width="9.5703125" style="45" customWidth="1"/>
    <col min="15362" max="15362" width="10.5703125" style="45" customWidth="1"/>
    <col min="15363" max="15363" width="11.7109375" style="45" customWidth="1"/>
    <col min="15364" max="15364" width="15.42578125" style="45" customWidth="1"/>
    <col min="15365" max="15365" width="18.28515625" style="45" customWidth="1"/>
    <col min="15366" max="15366" width="11" style="45" customWidth="1"/>
    <col min="15367" max="15367" width="12" style="45" customWidth="1"/>
    <col min="15368" max="15368" width="8.7109375" style="45" customWidth="1"/>
    <col min="15369" max="15369" width="9.5703125" style="45" customWidth="1"/>
    <col min="15370" max="15370" width="18.28515625" style="45" customWidth="1"/>
    <col min="15371" max="15371" width="10.7109375" style="45" customWidth="1"/>
    <col min="15372" max="15372" width="8.140625" style="45" customWidth="1"/>
    <col min="15373" max="15373" width="8.85546875" style="45" customWidth="1"/>
    <col min="15374" max="15374" width="11.140625" style="45" customWidth="1"/>
    <col min="15375" max="15375" width="7.42578125" style="45" customWidth="1"/>
    <col min="15376" max="15376" width="14.140625" style="45" customWidth="1"/>
    <col min="15377" max="15616" width="6.7109375" style="45"/>
    <col min="15617" max="15617" width="9.5703125" style="45" customWidth="1"/>
    <col min="15618" max="15618" width="10.5703125" style="45" customWidth="1"/>
    <col min="15619" max="15619" width="11.7109375" style="45" customWidth="1"/>
    <col min="15620" max="15620" width="15.42578125" style="45" customWidth="1"/>
    <col min="15621" max="15621" width="18.28515625" style="45" customWidth="1"/>
    <col min="15622" max="15622" width="11" style="45" customWidth="1"/>
    <col min="15623" max="15623" width="12" style="45" customWidth="1"/>
    <col min="15624" max="15624" width="8.7109375" style="45" customWidth="1"/>
    <col min="15625" max="15625" width="9.5703125" style="45" customWidth="1"/>
    <col min="15626" max="15626" width="18.28515625" style="45" customWidth="1"/>
    <col min="15627" max="15627" width="10.7109375" style="45" customWidth="1"/>
    <col min="15628" max="15628" width="8.140625" style="45" customWidth="1"/>
    <col min="15629" max="15629" width="8.85546875" style="45" customWidth="1"/>
    <col min="15630" max="15630" width="11.140625" style="45" customWidth="1"/>
    <col min="15631" max="15631" width="7.42578125" style="45" customWidth="1"/>
    <col min="15632" max="15632" width="14.140625" style="45" customWidth="1"/>
    <col min="15633" max="15872" width="6.7109375" style="45"/>
    <col min="15873" max="15873" width="9.5703125" style="45" customWidth="1"/>
    <col min="15874" max="15874" width="10.5703125" style="45" customWidth="1"/>
    <col min="15875" max="15875" width="11.7109375" style="45" customWidth="1"/>
    <col min="15876" max="15876" width="15.42578125" style="45" customWidth="1"/>
    <col min="15877" max="15877" width="18.28515625" style="45" customWidth="1"/>
    <col min="15878" max="15878" width="11" style="45" customWidth="1"/>
    <col min="15879" max="15879" width="12" style="45" customWidth="1"/>
    <col min="15880" max="15880" width="8.7109375" style="45" customWidth="1"/>
    <col min="15881" max="15881" width="9.5703125" style="45" customWidth="1"/>
    <col min="15882" max="15882" width="18.28515625" style="45" customWidth="1"/>
    <col min="15883" max="15883" width="10.7109375" style="45" customWidth="1"/>
    <col min="15884" max="15884" width="8.140625" style="45" customWidth="1"/>
    <col min="15885" max="15885" width="8.85546875" style="45" customWidth="1"/>
    <col min="15886" max="15886" width="11.140625" style="45" customWidth="1"/>
    <col min="15887" max="15887" width="7.42578125" style="45" customWidth="1"/>
    <col min="15888" max="15888" width="14.140625" style="45" customWidth="1"/>
    <col min="15889" max="16128" width="6.7109375" style="45"/>
    <col min="16129" max="16129" width="9.5703125" style="45" customWidth="1"/>
    <col min="16130" max="16130" width="10.5703125" style="45" customWidth="1"/>
    <col min="16131" max="16131" width="11.7109375" style="45" customWidth="1"/>
    <col min="16132" max="16132" width="15.42578125" style="45" customWidth="1"/>
    <col min="16133" max="16133" width="18.28515625" style="45" customWidth="1"/>
    <col min="16134" max="16134" width="11" style="45" customWidth="1"/>
    <col min="16135" max="16135" width="12" style="45" customWidth="1"/>
    <col min="16136" max="16136" width="8.7109375" style="45" customWidth="1"/>
    <col min="16137" max="16137" width="9.5703125" style="45" customWidth="1"/>
    <col min="16138" max="16138" width="18.28515625" style="45" customWidth="1"/>
    <col min="16139" max="16139" width="10.7109375" style="45" customWidth="1"/>
    <col min="16140" max="16140" width="8.140625" style="45" customWidth="1"/>
    <col min="16141" max="16141" width="8.85546875" style="45" customWidth="1"/>
    <col min="16142" max="16142" width="11.140625" style="45" customWidth="1"/>
    <col min="16143" max="16143" width="7.42578125" style="45" customWidth="1"/>
    <col min="16144" max="16144" width="14.140625" style="45" customWidth="1"/>
    <col min="16145" max="16384" width="6.7109375" style="45"/>
  </cols>
  <sheetData>
    <row r="1" spans="1:16" ht="18" customHeight="1"/>
    <row r="2" spans="1:16" ht="18" customHeight="1">
      <c r="B2" s="45" t="s">
        <v>94</v>
      </c>
      <c r="D2" s="45" t="s">
        <v>95</v>
      </c>
      <c r="E2" s="46" t="s">
        <v>96</v>
      </c>
      <c r="F2" s="46"/>
      <c r="G2" s="46"/>
      <c r="H2" s="46"/>
      <c r="I2" s="46"/>
      <c r="J2" s="46"/>
      <c r="K2" s="46"/>
      <c r="L2" s="47"/>
      <c r="M2" s="47"/>
      <c r="O2" s="48" t="s">
        <v>97</v>
      </c>
      <c r="P2" s="49"/>
    </row>
    <row r="3" spans="1:16" ht="18" customHeight="1">
      <c r="B3" s="45" t="s">
        <v>98</v>
      </c>
      <c r="D3" s="45" t="s">
        <v>99</v>
      </c>
      <c r="E3" s="46" t="s">
        <v>100</v>
      </c>
      <c r="F3" s="46"/>
      <c r="G3" s="46"/>
      <c r="H3" s="46"/>
      <c r="I3" s="46"/>
      <c r="J3" s="46"/>
      <c r="K3" s="46"/>
      <c r="L3" s="47"/>
      <c r="M3" s="47"/>
      <c r="O3" s="50">
        <v>1</v>
      </c>
      <c r="P3" s="51" t="s">
        <v>101</v>
      </c>
    </row>
    <row r="4" spans="1:16" ht="18" customHeight="1">
      <c r="E4" s="47"/>
      <c r="F4" s="47"/>
      <c r="G4" s="47"/>
      <c r="H4" s="47"/>
      <c r="I4" s="47"/>
      <c r="J4" s="47"/>
      <c r="K4" s="47"/>
      <c r="L4" s="47"/>
      <c r="M4" s="47"/>
      <c r="O4" s="52"/>
      <c r="P4" s="53"/>
    </row>
    <row r="5" spans="1:16" ht="19.5" customHeight="1">
      <c r="A5" s="54" t="s">
        <v>102</v>
      </c>
      <c r="B5" s="55"/>
      <c r="C5" s="55"/>
      <c r="D5" s="55"/>
      <c r="E5" s="56"/>
      <c r="F5" s="55" t="s">
        <v>103</v>
      </c>
      <c r="G5" s="55"/>
      <c r="H5" s="55"/>
      <c r="I5" s="55"/>
      <c r="J5" s="55"/>
      <c r="K5" s="55"/>
      <c r="L5" s="55"/>
      <c r="M5" s="55"/>
      <c r="N5" s="55"/>
      <c r="O5" s="55"/>
      <c r="P5" s="56"/>
    </row>
    <row r="6" spans="1:16" ht="19.5" customHeight="1">
      <c r="A6" s="57" t="str">
        <f>+[16]INVOICE!A2</f>
        <v>CONTINENT 8 PTE LTD</v>
      </c>
      <c r="B6" s="58"/>
      <c r="C6" s="58"/>
      <c r="D6" s="58"/>
      <c r="E6" s="59"/>
      <c r="G6" s="60" t="str">
        <f>+'INV-PO04774'!I3</f>
        <v>022C8P2605AW26</v>
      </c>
      <c r="H6" s="60"/>
      <c r="I6" s="60"/>
      <c r="J6" s="60"/>
      <c r="P6" s="61"/>
    </row>
    <row r="7" spans="1:16" ht="19.5" customHeight="1">
      <c r="A7" s="62" t="str">
        <f>+[16]INVOICE!A3</f>
        <v xml:space="preserve">300 TAMPINES AVENUE 5, #. 09-02, </v>
      </c>
      <c r="B7" s="63"/>
      <c r="C7" s="63"/>
      <c r="D7" s="63"/>
      <c r="E7" s="64"/>
      <c r="P7" s="61"/>
    </row>
    <row r="8" spans="1:16" ht="19.5" customHeight="1">
      <c r="A8" s="62" t="str">
        <f>+[16]INVOICE!A4</f>
        <v>INCOME AT TAMPINES JUNCTION SINGAPORE 529653</v>
      </c>
      <c r="B8" s="63"/>
      <c r="C8" s="63"/>
      <c r="D8" s="63"/>
      <c r="E8" s="64"/>
      <c r="F8" s="45" t="s">
        <v>104</v>
      </c>
      <c r="P8" s="61"/>
    </row>
    <row r="9" spans="1:16" ht="19.5" customHeight="1">
      <c r="A9" s="62" t="str">
        <f>+[16]INVOICE!A5</f>
        <v>AT TAMPINES JUNCTION SINGAPORE 529653</v>
      </c>
      <c r="B9" s="63"/>
      <c r="C9" s="63"/>
      <c r="D9" s="63"/>
      <c r="E9" s="64"/>
      <c r="F9" s="45" t="s">
        <v>105</v>
      </c>
      <c r="P9" s="61"/>
    </row>
    <row r="10" spans="1:16" ht="19.5" customHeight="1">
      <c r="A10" s="65"/>
      <c r="B10" s="66"/>
      <c r="C10" s="66"/>
      <c r="D10" s="66"/>
      <c r="E10" s="67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9"/>
    </row>
    <row r="11" spans="1:16" ht="19.5" customHeight="1">
      <c r="A11" s="70" t="s">
        <v>106</v>
      </c>
      <c r="E11" s="61"/>
      <c r="F11" s="71" t="s">
        <v>107</v>
      </c>
      <c r="G11" s="71"/>
      <c r="H11" s="71"/>
      <c r="I11" s="71"/>
      <c r="J11" s="71"/>
      <c r="K11" s="71"/>
      <c r="L11" s="71"/>
      <c r="M11" s="71"/>
      <c r="N11" s="71"/>
      <c r="O11" s="71"/>
      <c r="P11" s="72"/>
    </row>
    <row r="12" spans="1:16" ht="19.5" customHeight="1">
      <c r="A12" s="57" t="str">
        <f>+[16]INVOICE!A15</f>
        <v>NRI CA Warehouse (Ecomm)</v>
      </c>
      <c r="B12" s="63"/>
      <c r="C12" s="63"/>
      <c r="D12" s="63"/>
      <c r="E12" s="64"/>
      <c r="F12" s="45" t="s">
        <v>108</v>
      </c>
      <c r="P12" s="61"/>
    </row>
    <row r="13" spans="1:16" ht="19.5" customHeight="1">
      <c r="A13" s="62" t="str">
        <f>+[16]INVOICE!A16</f>
        <v>tentree c/o NRI Distribution Inc. - receiving</v>
      </c>
      <c r="B13" s="63"/>
      <c r="C13" s="63"/>
      <c r="D13" s="63"/>
      <c r="E13" s="64"/>
      <c r="F13" s="63"/>
      <c r="G13" s="73"/>
      <c r="H13" s="73"/>
      <c r="I13" s="73"/>
      <c r="J13" s="63"/>
      <c r="K13" s="63"/>
      <c r="L13" s="63"/>
      <c r="M13" s="63"/>
      <c r="N13" s="63"/>
      <c r="O13" s="63"/>
      <c r="P13" s="64"/>
    </row>
    <row r="14" spans="1:16" ht="19.5" customHeight="1">
      <c r="A14" s="62" t="str">
        <f>+[16]INVOICE!A17</f>
        <v>8205 Dallas Dr</v>
      </c>
      <c r="B14" s="63"/>
      <c r="C14" s="63"/>
      <c r="D14" s="63"/>
      <c r="E14" s="63"/>
      <c r="F14" s="54" t="s">
        <v>109</v>
      </c>
      <c r="G14" s="55"/>
      <c r="H14" s="55"/>
      <c r="I14" s="55"/>
      <c r="J14" s="55"/>
      <c r="K14" s="55"/>
      <c r="L14" s="55"/>
      <c r="M14" s="55"/>
      <c r="N14" s="55"/>
      <c r="O14" s="55"/>
      <c r="P14" s="56"/>
    </row>
    <row r="15" spans="1:16" ht="19.5" customHeight="1">
      <c r="A15" s="62" t="str">
        <f>+[16]INVOICE!A18</f>
        <v>Kamloops, BC</v>
      </c>
      <c r="B15" s="63"/>
      <c r="C15" s="63"/>
      <c r="D15" s="63"/>
      <c r="E15" s="63"/>
      <c r="F15" s="65"/>
      <c r="G15" s="66"/>
      <c r="H15" s="66"/>
      <c r="I15" s="66"/>
      <c r="J15" s="66"/>
      <c r="K15" s="66"/>
      <c r="L15" s="66"/>
      <c r="M15" s="66"/>
      <c r="N15" s="66"/>
      <c r="O15" s="66"/>
      <c r="P15" s="67"/>
    </row>
    <row r="16" spans="1:16" ht="19.5" customHeight="1">
      <c r="A16" s="62" t="str">
        <f>+[16]INVOICE!A19</f>
        <v>V2C 6X2, Canada</v>
      </c>
      <c r="B16" s="63"/>
      <c r="C16" s="63"/>
      <c r="D16" s="63"/>
      <c r="E16" s="64"/>
      <c r="F16" s="45" t="s">
        <v>110</v>
      </c>
      <c r="K16" s="70" t="s">
        <v>111</v>
      </c>
      <c r="N16" s="60" t="str">
        <f>G6</f>
        <v>022C8P2605AW26</v>
      </c>
      <c r="P16" s="61"/>
    </row>
    <row r="17" spans="1:16" ht="19.5" customHeight="1">
      <c r="A17" s="62" t="str">
        <f>+[16]INVOICE!A20</f>
        <v>Contact: Alyssa Clisby</v>
      </c>
      <c r="B17" s="63"/>
      <c r="C17" s="63"/>
      <c r="D17" s="63"/>
      <c r="E17" s="64"/>
      <c r="F17" s="45" t="s">
        <v>112</v>
      </c>
      <c r="J17" s="74"/>
      <c r="K17" s="75" t="s">
        <v>113</v>
      </c>
      <c r="M17" s="76" t="s">
        <v>114</v>
      </c>
      <c r="P17" s="61"/>
    </row>
    <row r="18" spans="1:16" ht="19.5" customHeight="1">
      <c r="A18" s="62" t="str">
        <f>+[16]INVOICE!A21</f>
        <v>250 573 2619</v>
      </c>
      <c r="B18" s="63"/>
      <c r="C18" s="63"/>
      <c r="D18" s="63"/>
      <c r="E18" s="64"/>
      <c r="F18" s="77" t="s">
        <v>53</v>
      </c>
      <c r="G18" s="78"/>
      <c r="H18" s="78"/>
      <c r="I18" s="78"/>
      <c r="J18" s="78"/>
      <c r="P18" s="61"/>
    </row>
    <row r="19" spans="1:16" ht="19.5" customHeight="1">
      <c r="A19" s="62" t="str">
        <f>+[16]INVOICE!A22</f>
        <v>Alyssa.Clisby@nri-distribution.com</v>
      </c>
      <c r="B19" s="66"/>
      <c r="C19" s="66"/>
      <c r="D19" s="66"/>
      <c r="E19" s="67"/>
      <c r="F19" s="68"/>
      <c r="G19" s="68"/>
      <c r="H19" s="68"/>
      <c r="I19" s="68"/>
      <c r="J19" s="79"/>
      <c r="K19" s="80"/>
      <c r="L19" s="81"/>
      <c r="M19" s="81"/>
      <c r="N19" s="81"/>
      <c r="O19" s="81"/>
      <c r="P19" s="82"/>
    </row>
    <row r="20" spans="1:16" ht="19.5" customHeight="1">
      <c r="A20" s="54" t="s">
        <v>115</v>
      </c>
      <c r="B20" s="55"/>
      <c r="C20" s="55"/>
      <c r="D20" s="55"/>
      <c r="E20" s="56"/>
      <c r="F20" s="71" t="s">
        <v>116</v>
      </c>
      <c r="G20" s="71"/>
      <c r="H20" s="71"/>
      <c r="I20" s="71"/>
      <c r="J20" s="71"/>
      <c r="K20" s="71"/>
      <c r="L20" s="71"/>
      <c r="M20" s="71"/>
      <c r="N20" s="71"/>
      <c r="O20" s="71"/>
      <c r="P20" s="72"/>
    </row>
    <row r="21" spans="1:16" ht="19.5" customHeight="1">
      <c r="A21" s="70" t="s">
        <v>117</v>
      </c>
      <c r="E21" s="61"/>
      <c r="F21" s="45" t="s">
        <v>118</v>
      </c>
      <c r="P21" s="61"/>
    </row>
    <row r="22" spans="1:16" ht="19.5" customHeight="1">
      <c r="A22" s="83" t="s">
        <v>119</v>
      </c>
      <c r="B22" s="58" t="str">
        <f>+'INV-PO04774'!I5</f>
        <v>SEA (INCRES 072N)</v>
      </c>
      <c r="D22" s="58"/>
      <c r="F22" s="70" t="s">
        <v>120</v>
      </c>
      <c r="P22" s="61"/>
    </row>
    <row r="23" spans="1:16" ht="19.5" customHeight="1">
      <c r="A23" s="84" t="s">
        <v>121</v>
      </c>
      <c r="B23" s="58" t="str">
        <f>+'INV-PO04774'!I9</f>
        <v>JAKARTA, INDONESIA</v>
      </c>
      <c r="D23" s="63"/>
      <c r="E23" s="64"/>
      <c r="F23" s="45" t="s">
        <v>122</v>
      </c>
      <c r="P23" s="61"/>
    </row>
    <row r="24" spans="1:16" ht="19.5" customHeight="1">
      <c r="A24" s="84" t="s">
        <v>123</v>
      </c>
      <c r="B24" s="58" t="str">
        <f>+'INV-PO04774'!I10</f>
        <v>LOS ANGLES, USA</v>
      </c>
      <c r="D24" s="63"/>
      <c r="E24" s="64"/>
      <c r="F24" s="85"/>
      <c r="G24" s="66"/>
      <c r="H24" s="66"/>
      <c r="I24" s="66"/>
      <c r="J24" s="66"/>
      <c r="K24" s="66"/>
      <c r="L24" s="66"/>
      <c r="M24" s="66"/>
      <c r="N24" s="66"/>
      <c r="O24" s="66"/>
      <c r="P24" s="67"/>
    </row>
    <row r="25" spans="1:16" ht="19.5" customHeight="1">
      <c r="A25" s="84" t="s">
        <v>124</v>
      </c>
      <c r="B25" s="187">
        <f>+'INV-PO04774'!I7</f>
        <v>46153</v>
      </c>
      <c r="D25" s="63"/>
      <c r="E25" s="64"/>
      <c r="F25" s="45" t="s">
        <v>125</v>
      </c>
      <c r="K25" s="45" t="s">
        <v>126</v>
      </c>
      <c r="P25" s="61"/>
    </row>
    <row r="26" spans="1:16" ht="19.5" customHeight="1">
      <c r="A26" s="65"/>
      <c r="B26" s="66"/>
      <c r="C26" s="66"/>
      <c r="D26" s="66"/>
      <c r="E26" s="67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7"/>
    </row>
    <row r="27" spans="1:16" ht="21.75" customHeight="1">
      <c r="A27" s="88" t="s">
        <v>127</v>
      </c>
      <c r="B27" s="75" t="s">
        <v>128</v>
      </c>
      <c r="F27" s="71"/>
      <c r="G27" s="71"/>
      <c r="H27" s="71"/>
      <c r="I27" s="71"/>
      <c r="J27" s="49"/>
      <c r="K27" s="48" t="s">
        <v>129</v>
      </c>
      <c r="L27" s="49"/>
      <c r="M27" s="89" t="s">
        <v>130</v>
      </c>
      <c r="N27" s="89"/>
      <c r="O27" s="89"/>
      <c r="P27" s="90"/>
    </row>
    <row r="28" spans="1:16" ht="23.25" customHeight="1">
      <c r="A28" s="91" t="s">
        <v>131</v>
      </c>
      <c r="B28" s="75" t="s">
        <v>132</v>
      </c>
      <c r="J28" s="74"/>
      <c r="K28" s="75" t="s">
        <v>133</v>
      </c>
      <c r="L28" s="74"/>
      <c r="M28" s="92" t="s">
        <v>134</v>
      </c>
      <c r="N28" s="93"/>
      <c r="O28" s="94" t="s">
        <v>135</v>
      </c>
      <c r="P28" s="95"/>
    </row>
    <row r="29" spans="1:16" ht="19.5" customHeight="1">
      <c r="A29" s="91" t="s">
        <v>136</v>
      </c>
      <c r="B29" s="75" t="s">
        <v>137</v>
      </c>
      <c r="J29" s="74"/>
      <c r="K29" s="75" t="s">
        <v>138</v>
      </c>
      <c r="L29" s="74"/>
      <c r="M29" s="96" t="s">
        <v>139</v>
      </c>
      <c r="N29" s="97"/>
      <c r="O29" s="70"/>
      <c r="P29" s="61"/>
    </row>
    <row r="30" spans="1:16" ht="19.5" customHeight="1">
      <c r="A30" s="91" t="s">
        <v>140</v>
      </c>
      <c r="B30" s="75" t="s">
        <v>141</v>
      </c>
      <c r="J30" s="74"/>
      <c r="K30" s="75" t="s">
        <v>142</v>
      </c>
      <c r="L30" s="74"/>
      <c r="M30" s="75"/>
      <c r="O30" s="70"/>
      <c r="P30" s="61"/>
    </row>
    <row r="31" spans="1:16" ht="16.5" customHeight="1">
      <c r="A31" s="98" t="e">
        <f>+#REF!</f>
        <v>#REF!</v>
      </c>
      <c r="B31" s="99" t="s">
        <v>143</v>
      </c>
      <c r="C31" s="99" t="str">
        <f>+[16]INVOICE!J2</f>
        <v>PO04515</v>
      </c>
      <c r="D31" s="100"/>
      <c r="E31" s="100"/>
      <c r="F31" s="100"/>
      <c r="G31" s="100"/>
      <c r="H31" s="100"/>
      <c r="I31" s="100"/>
      <c r="J31" s="101"/>
      <c r="K31" s="102"/>
      <c r="L31" s="103"/>
      <c r="M31" s="104"/>
      <c r="N31" s="102"/>
      <c r="O31" s="84"/>
      <c r="P31" s="101"/>
    </row>
    <row r="32" spans="1:16" ht="16.5" customHeight="1">
      <c r="A32" s="105"/>
      <c r="B32" s="106" t="s">
        <v>206</v>
      </c>
      <c r="C32" s="106" t="s">
        <v>144</v>
      </c>
      <c r="D32" s="106" t="s">
        <v>36</v>
      </c>
      <c r="E32" s="106" t="s">
        <v>145</v>
      </c>
      <c r="F32" s="107" t="s">
        <v>146</v>
      </c>
      <c r="G32" s="106" t="s">
        <v>147</v>
      </c>
      <c r="H32" s="99" t="s">
        <v>148</v>
      </c>
      <c r="I32" s="108"/>
      <c r="J32" s="101"/>
      <c r="K32" s="109"/>
      <c r="L32" s="110"/>
      <c r="M32" s="104"/>
      <c r="N32" s="111"/>
      <c r="O32" s="84"/>
      <c r="P32" s="112"/>
    </row>
    <row r="33" spans="1:16" ht="16.5" customHeight="1">
      <c r="A33" s="113"/>
      <c r="B33" s="114" t="e">
        <f>+'INV-PO04774'!#REF!</f>
        <v>#REF!</v>
      </c>
      <c r="C33" s="115" t="e">
        <f>+'INV-PO04774'!#REF!</f>
        <v>#REF!</v>
      </c>
      <c r="D33" s="225" t="e">
        <f>+#REF!</f>
        <v>#REF!</v>
      </c>
      <c r="E33" s="116" t="e">
        <f>+'INV-PO04774'!#REF!</f>
        <v>#REF!</v>
      </c>
      <c r="F33" s="117" t="e">
        <f>+'INV-PO04774'!#REF!</f>
        <v>#REF!</v>
      </c>
      <c r="G33" s="117" t="e">
        <f>+'INV-PO04774'!#REF!</f>
        <v>#REF!</v>
      </c>
      <c r="H33" s="655" t="e">
        <f>+'INV-PO04774'!#REF!</f>
        <v>#REF!</v>
      </c>
      <c r="I33" s="655"/>
      <c r="J33" s="656"/>
      <c r="K33" s="118" t="e">
        <f>+'INV-PO04774'!#REF!</f>
        <v>#REF!</v>
      </c>
      <c r="L33" s="119" t="s">
        <v>86</v>
      </c>
      <c r="M33" s="120" t="s">
        <v>126</v>
      </c>
      <c r="N33" s="121" t="e">
        <f>+'INV-PO04774'!#REF!</f>
        <v>#REF!</v>
      </c>
      <c r="O33" s="122" t="s">
        <v>126</v>
      </c>
      <c r="P33" s="123" t="e">
        <f>N33*K33</f>
        <v>#REF!</v>
      </c>
    </row>
    <row r="34" spans="1:16" ht="16.5" customHeight="1">
      <c r="A34" s="113"/>
      <c r="B34" s="114" t="e">
        <f>+'INV-PO04774'!#REF!</f>
        <v>#REF!</v>
      </c>
      <c r="C34" s="115" t="e">
        <f>+'INV-PO04774'!#REF!</f>
        <v>#REF!</v>
      </c>
      <c r="D34" s="225" t="e">
        <f>+#REF!</f>
        <v>#REF!</v>
      </c>
      <c r="E34" s="116" t="e">
        <f>+'INV-PO04774'!#REF!</f>
        <v>#REF!</v>
      </c>
      <c r="F34" s="117" t="e">
        <f>+'INV-PO04774'!#REF!</f>
        <v>#REF!</v>
      </c>
      <c r="G34" s="117" t="e">
        <f>+'INV-PO04774'!#REF!</f>
        <v>#REF!</v>
      </c>
      <c r="H34" s="655" t="e">
        <f>+'INV-PO04774'!#REF!</f>
        <v>#REF!</v>
      </c>
      <c r="I34" s="655"/>
      <c r="J34" s="656"/>
      <c r="K34" s="118" t="e">
        <f>+'INV-PO04774'!#REF!</f>
        <v>#REF!</v>
      </c>
      <c r="L34" s="119" t="s">
        <v>86</v>
      </c>
      <c r="M34" s="120" t="s">
        <v>126</v>
      </c>
      <c r="N34" s="121" t="e">
        <f>+'INV-PO04774'!#REF!</f>
        <v>#REF!</v>
      </c>
      <c r="O34" s="122" t="s">
        <v>126</v>
      </c>
      <c r="P34" s="123" t="e">
        <f t="shared" ref="P34:P51" si="0">N34*K34</f>
        <v>#REF!</v>
      </c>
    </row>
    <row r="35" spans="1:16" ht="16.5" customHeight="1">
      <c r="A35" s="113"/>
      <c r="B35" s="114" t="str">
        <f>+'INV-PO04774'!B28</f>
        <v>TCW6649-6303</v>
      </c>
      <c r="C35" s="115" t="str">
        <f>+'INV-PO04774'!I28</f>
        <v>6104.62.62.20</v>
      </c>
      <c r="D35" s="225" t="e">
        <f>+#REF!</f>
        <v>#REF!</v>
      </c>
      <c r="E35" s="116" t="str">
        <f>+'INV-PO04774'!D28</f>
        <v>W Flint Pant</v>
      </c>
      <c r="F35" s="117" t="str">
        <f>+'INV-PO04774'!F28</f>
        <v>Pants</v>
      </c>
      <c r="G35" s="117" t="str">
        <f>+'INV-PO04774'!G28</f>
        <v>Womens</v>
      </c>
      <c r="H35" s="655" t="str">
        <f>+'INV-PO04774'!H28</f>
        <v>53% Organic Cotton, 45% Recycled Polyester, 2% Spandex</v>
      </c>
      <c r="I35" s="655"/>
      <c r="J35" s="656"/>
      <c r="K35" s="118">
        <f>+'INV-PO04774'!J28</f>
        <v>40</v>
      </c>
      <c r="L35" s="119" t="s">
        <v>86</v>
      </c>
      <c r="M35" s="120" t="s">
        <v>126</v>
      </c>
      <c r="N35" s="121">
        <f>+'INV-PO04774'!K28</f>
        <v>23.35</v>
      </c>
      <c r="O35" s="122" t="s">
        <v>126</v>
      </c>
      <c r="P35" s="123">
        <f t="shared" si="0"/>
        <v>934</v>
      </c>
    </row>
    <row r="36" spans="1:16" ht="16.5" customHeight="1">
      <c r="A36" s="113"/>
      <c r="B36" s="114" t="e">
        <f>+'INV-PO04774'!#REF!</f>
        <v>#REF!</v>
      </c>
      <c r="C36" s="115" t="e">
        <f>+'INV-PO04774'!#REF!</f>
        <v>#REF!</v>
      </c>
      <c r="D36" s="225" t="e">
        <f>+#REF!</f>
        <v>#REF!</v>
      </c>
      <c r="E36" s="116" t="e">
        <f>+'INV-PO04774'!#REF!</f>
        <v>#REF!</v>
      </c>
      <c r="F36" s="117" t="e">
        <f>+'INV-PO04774'!#REF!</f>
        <v>#REF!</v>
      </c>
      <c r="G36" s="117" t="e">
        <f>+'INV-PO04774'!#REF!</f>
        <v>#REF!</v>
      </c>
      <c r="H36" s="655" t="e">
        <f>+'INV-PO04774'!#REF!</f>
        <v>#REF!</v>
      </c>
      <c r="I36" s="655"/>
      <c r="J36" s="656"/>
      <c r="K36" s="118" t="e">
        <f>+'INV-PO04774'!#REF!</f>
        <v>#REF!</v>
      </c>
      <c r="L36" s="119" t="s">
        <v>86</v>
      </c>
      <c r="M36" s="120" t="s">
        <v>126</v>
      </c>
      <c r="N36" s="121" t="e">
        <f>+'INV-PO04774'!#REF!</f>
        <v>#REF!</v>
      </c>
      <c r="O36" s="122" t="s">
        <v>126</v>
      </c>
      <c r="P36" s="123" t="e">
        <f t="shared" si="0"/>
        <v>#REF!</v>
      </c>
    </row>
    <row r="37" spans="1:16" ht="16.5" customHeight="1">
      <c r="A37" s="113"/>
      <c r="B37" s="114" t="str">
        <f>+'INV-PO04774'!B30</f>
        <v>TCM6684-6303</v>
      </c>
      <c r="C37" s="115" t="str">
        <f>+'INV-PO04774'!I30</f>
        <v>6103.42.62.20</v>
      </c>
      <c r="D37" s="225" t="e">
        <f>+#REF!</f>
        <v>#REF!</v>
      </c>
      <c r="E37" s="116" t="str">
        <f>+'INV-PO04774'!D30</f>
        <v>M Clark Pant</v>
      </c>
      <c r="F37" s="117" t="str">
        <f>+'INV-PO04774'!F30</f>
        <v>Pants</v>
      </c>
      <c r="G37" s="117" t="str">
        <f>+'INV-PO04774'!G30</f>
        <v>Mens</v>
      </c>
      <c r="H37" s="655" t="str">
        <f>+'INV-PO04774'!H30</f>
        <v>53% Organic Cotton, 45% Recycled Polyester, 2% Spandex</v>
      </c>
      <c r="I37" s="655"/>
      <c r="J37" s="656"/>
      <c r="K37" s="118" t="e">
        <f>+'INV-PO04774'!#REF!</f>
        <v>#REF!</v>
      </c>
      <c r="L37" s="119" t="s">
        <v>86</v>
      </c>
      <c r="M37" s="120" t="s">
        <v>126</v>
      </c>
      <c r="N37" s="121" t="e">
        <f>+'INV-PO04774'!#REF!</f>
        <v>#REF!</v>
      </c>
      <c r="O37" s="122" t="s">
        <v>126</v>
      </c>
      <c r="P37" s="123" t="e">
        <f t="shared" si="0"/>
        <v>#REF!</v>
      </c>
    </row>
    <row r="38" spans="1:16" ht="16.5" customHeight="1">
      <c r="A38" s="113"/>
      <c r="B38" s="114" t="e">
        <f>+'INV-PO04774'!#REF!</f>
        <v>#REF!</v>
      </c>
      <c r="C38" s="115" t="e">
        <f>+'INV-PO04774'!#REF!</f>
        <v>#REF!</v>
      </c>
      <c r="D38" s="225" t="e">
        <f>+#REF!</f>
        <v>#REF!</v>
      </c>
      <c r="E38" s="116" t="e">
        <f>+'INV-PO04774'!#REF!</f>
        <v>#REF!</v>
      </c>
      <c r="F38" s="117" t="e">
        <f>+'INV-PO04774'!#REF!</f>
        <v>#REF!</v>
      </c>
      <c r="G38" s="117" t="e">
        <f>+'INV-PO04774'!#REF!</f>
        <v>#REF!</v>
      </c>
      <c r="H38" s="655" t="e">
        <f>+'INV-PO04774'!#REF!</f>
        <v>#REF!</v>
      </c>
      <c r="I38" s="655"/>
      <c r="J38" s="656"/>
      <c r="K38" s="118">
        <f>+'INV-PO04774'!J35</f>
        <v>35</v>
      </c>
      <c r="L38" s="119" t="s">
        <v>86</v>
      </c>
      <c r="M38" s="120" t="s">
        <v>126</v>
      </c>
      <c r="N38" s="121">
        <f>+'INV-PO04774'!K35</f>
        <v>27.48</v>
      </c>
      <c r="O38" s="122" t="s">
        <v>126</v>
      </c>
      <c r="P38" s="123">
        <f t="shared" si="0"/>
        <v>961.80000000000007</v>
      </c>
    </row>
    <row r="39" spans="1:16" ht="16.5" customHeight="1">
      <c r="A39" s="113"/>
      <c r="B39" s="114" t="str">
        <f>+'INV-PO04774'!B32</f>
        <v>TCW6648-6303</v>
      </c>
      <c r="C39" s="115" t="str">
        <f>+'INV-PO04774'!I32</f>
        <v>6204.63.62.10</v>
      </c>
      <c r="D39" s="225" t="e">
        <f>+#REF!</f>
        <v>#REF!</v>
      </c>
      <c r="E39" s="116" t="str">
        <f>+'INV-PO04774'!D32</f>
        <v>W Breton Pant</v>
      </c>
      <c r="F39" s="117" t="str">
        <f>+'INV-PO04774'!F32</f>
        <v>Pants</v>
      </c>
      <c r="G39" s="117" t="str">
        <f>+'INV-PO04774'!G32</f>
        <v>Womens</v>
      </c>
      <c r="H39" s="655" t="str">
        <f>+'INV-PO04774'!H32</f>
        <v>90% Recycled Polyester, 10% Spandex</v>
      </c>
      <c r="I39" s="655"/>
      <c r="J39" s="656"/>
      <c r="K39" s="118" t="e">
        <f>+'INV-PO04774'!#REF!</f>
        <v>#REF!</v>
      </c>
      <c r="L39" s="119" t="s">
        <v>86</v>
      </c>
      <c r="M39" s="120" t="s">
        <v>126</v>
      </c>
      <c r="N39" s="121" t="e">
        <f>+'INV-PO04774'!#REF!</f>
        <v>#REF!</v>
      </c>
      <c r="O39" s="122" t="s">
        <v>126</v>
      </c>
      <c r="P39" s="123" t="e">
        <f t="shared" si="0"/>
        <v>#REF!</v>
      </c>
    </row>
    <row r="40" spans="1:16" ht="16.5" customHeight="1">
      <c r="A40" s="113"/>
      <c r="B40" s="114" t="e">
        <f>+'INV-PO04774'!#REF!</f>
        <v>#REF!</v>
      </c>
      <c r="C40" s="115" t="e">
        <f>+'INV-PO04774'!#REF!</f>
        <v>#REF!</v>
      </c>
      <c r="D40" s="225" t="e">
        <f>+#REF!</f>
        <v>#REF!</v>
      </c>
      <c r="E40" s="116" t="e">
        <f>+'INV-PO04774'!#REF!</f>
        <v>#REF!</v>
      </c>
      <c r="F40" s="117" t="e">
        <f>+'INV-PO04774'!#REF!</f>
        <v>#REF!</v>
      </c>
      <c r="G40" s="117" t="e">
        <f>+'INV-PO04774'!#REF!</f>
        <v>#REF!</v>
      </c>
      <c r="H40" s="655" t="e">
        <f>+'INV-PO04774'!#REF!</f>
        <v>#REF!</v>
      </c>
      <c r="I40" s="655"/>
      <c r="J40" s="656"/>
      <c r="K40" s="118" t="e">
        <f>+'INV-PO04774'!#REF!</f>
        <v>#REF!</v>
      </c>
      <c r="L40" s="119" t="s">
        <v>86</v>
      </c>
      <c r="M40" s="120" t="s">
        <v>126</v>
      </c>
      <c r="N40" s="121" t="e">
        <f>+'INV-PO04774'!#REF!</f>
        <v>#REF!</v>
      </c>
      <c r="O40" s="122" t="s">
        <v>126</v>
      </c>
      <c r="P40" s="123" t="e">
        <f t="shared" si="0"/>
        <v>#REF!</v>
      </c>
    </row>
    <row r="41" spans="1:16" ht="16.5" customHeight="1">
      <c r="A41" s="113"/>
      <c r="B41" s="114" t="e">
        <f>+'INV-PO04774'!#REF!</f>
        <v>#REF!</v>
      </c>
      <c r="C41" s="115" t="e">
        <f>+'INV-PO04774'!#REF!</f>
        <v>#REF!</v>
      </c>
      <c r="D41" s="225" t="e">
        <f>+#REF!</f>
        <v>#REF!</v>
      </c>
      <c r="E41" s="116" t="e">
        <f>+'INV-PO04774'!#REF!</f>
        <v>#REF!</v>
      </c>
      <c r="F41" s="117" t="e">
        <f>+'INV-PO04774'!#REF!</f>
        <v>#REF!</v>
      </c>
      <c r="G41" s="117" t="e">
        <f>+'INV-PO04774'!#REF!</f>
        <v>#REF!</v>
      </c>
      <c r="H41" s="655" t="e">
        <f>+'INV-PO04774'!#REF!</f>
        <v>#REF!</v>
      </c>
      <c r="I41" s="655"/>
      <c r="J41" s="656"/>
      <c r="K41" s="118">
        <f>+'INV-PO04774'!J38</f>
        <v>46</v>
      </c>
      <c r="L41" s="119" t="s">
        <v>86</v>
      </c>
      <c r="M41" s="120" t="s">
        <v>126</v>
      </c>
      <c r="N41" s="121">
        <f>+'INV-PO04774'!K38</f>
        <v>22.11</v>
      </c>
      <c r="O41" s="122" t="s">
        <v>126</v>
      </c>
      <c r="P41" s="123">
        <f t="shared" si="0"/>
        <v>1017.06</v>
      </c>
    </row>
    <row r="42" spans="1:16" ht="16.5" customHeight="1">
      <c r="A42" s="113"/>
      <c r="B42" s="114" t="e">
        <f>+'INV-PO04774'!#REF!</f>
        <v>#REF!</v>
      </c>
      <c r="C42" s="115" t="e">
        <f>+'INV-PO04774'!#REF!</f>
        <v>#REF!</v>
      </c>
      <c r="D42" s="225" t="e">
        <f>+#REF!</f>
        <v>#REF!</v>
      </c>
      <c r="E42" s="116" t="e">
        <f>+'INV-PO04774'!#REF!</f>
        <v>#REF!</v>
      </c>
      <c r="F42" s="117" t="e">
        <f>+'INV-PO04774'!#REF!</f>
        <v>#REF!</v>
      </c>
      <c r="G42" s="117" t="e">
        <f>+'INV-PO04774'!#REF!</f>
        <v>#REF!</v>
      </c>
      <c r="H42" s="655" t="e">
        <f>+'INV-PO04774'!#REF!</f>
        <v>#REF!</v>
      </c>
      <c r="I42" s="655"/>
      <c r="J42" s="656"/>
      <c r="K42" s="118" t="e">
        <f>+'INV-PO04774'!#REF!</f>
        <v>#REF!</v>
      </c>
      <c r="L42" s="119" t="s">
        <v>86</v>
      </c>
      <c r="M42" s="120" t="s">
        <v>126</v>
      </c>
      <c r="N42" s="121" t="e">
        <f>+'INV-PO04774'!#REF!</f>
        <v>#REF!</v>
      </c>
      <c r="O42" s="122" t="s">
        <v>126</v>
      </c>
      <c r="P42" s="123" t="e">
        <f t="shared" si="0"/>
        <v>#REF!</v>
      </c>
    </row>
    <row r="43" spans="1:16" ht="16.5" customHeight="1">
      <c r="A43" s="113"/>
      <c r="B43" s="114" t="str">
        <f>+'INV-PO04774'!B35</f>
        <v>TCM6685-6289</v>
      </c>
      <c r="C43" s="115" t="str">
        <f>+'INV-PO04774'!I35</f>
        <v>6203.43.62.10</v>
      </c>
      <c r="D43" s="225" t="e">
        <f>+#REF!</f>
        <v>#REF!</v>
      </c>
      <c r="E43" s="116" t="str">
        <f>+'INV-PO04774'!D35</f>
        <v>M Cameron Pant</v>
      </c>
      <c r="F43" s="117" t="str">
        <f>+'INV-PO04774'!F35</f>
        <v>Pants</v>
      </c>
      <c r="G43" s="117" t="str">
        <f>+'INV-PO04774'!G35</f>
        <v>Mens</v>
      </c>
      <c r="H43" s="655" t="str">
        <f>+'INV-PO04774'!H35</f>
        <v>90% Recycled Polyester, 10% Spandex</v>
      </c>
      <c r="I43" s="655"/>
      <c r="J43" s="656"/>
      <c r="K43" s="118" t="e">
        <f>+'INV-PO04774'!#REF!</f>
        <v>#REF!</v>
      </c>
      <c r="L43" s="119" t="s">
        <v>86</v>
      </c>
      <c r="M43" s="120" t="s">
        <v>126</v>
      </c>
      <c r="N43" s="121" t="e">
        <f>+'INV-PO04774'!#REF!</f>
        <v>#REF!</v>
      </c>
      <c r="O43" s="122" t="s">
        <v>126</v>
      </c>
      <c r="P43" s="123" t="e">
        <f t="shared" si="0"/>
        <v>#REF!</v>
      </c>
    </row>
    <row r="44" spans="1:16" ht="16.5" customHeight="1">
      <c r="A44" s="113"/>
      <c r="B44" s="114" t="e">
        <f>+'INV-PO04774'!#REF!</f>
        <v>#REF!</v>
      </c>
      <c r="C44" s="115" t="e">
        <f>+'INV-PO04774'!#REF!</f>
        <v>#REF!</v>
      </c>
      <c r="D44" s="225" t="e">
        <f>+#REF!</f>
        <v>#REF!</v>
      </c>
      <c r="E44" s="116" t="e">
        <f>+'INV-PO04774'!#REF!</f>
        <v>#REF!</v>
      </c>
      <c r="F44" s="117" t="e">
        <f>+'INV-PO04774'!#REF!</f>
        <v>#REF!</v>
      </c>
      <c r="G44" s="117" t="e">
        <f>+'INV-PO04774'!#REF!</f>
        <v>#REF!</v>
      </c>
      <c r="H44" s="655" t="e">
        <f>+'INV-PO04774'!#REF!</f>
        <v>#REF!</v>
      </c>
      <c r="I44" s="655"/>
      <c r="J44" s="656"/>
      <c r="K44" s="118" t="e">
        <f>+'INV-PO04774'!#REF!</f>
        <v>#REF!</v>
      </c>
      <c r="L44" s="119" t="s">
        <v>86</v>
      </c>
      <c r="M44" s="120" t="s">
        <v>126</v>
      </c>
      <c r="N44" s="121" t="e">
        <f>+'INV-PO04774'!#REF!</f>
        <v>#REF!</v>
      </c>
      <c r="O44" s="122" t="s">
        <v>126</v>
      </c>
      <c r="P44" s="123" t="e">
        <f t="shared" si="0"/>
        <v>#REF!</v>
      </c>
    </row>
    <row r="45" spans="1:16" ht="16.5" customHeight="1">
      <c r="A45" s="105"/>
      <c r="B45" s="114" t="e">
        <f>+'INV-PO04774'!#REF!</f>
        <v>#REF!</v>
      </c>
      <c r="C45" s="115" t="e">
        <f>+'INV-PO04774'!#REF!</f>
        <v>#REF!</v>
      </c>
      <c r="D45" s="225" t="e">
        <f>+#REF!</f>
        <v>#REF!</v>
      </c>
      <c r="E45" s="116" t="e">
        <f>+'INV-PO04774'!#REF!</f>
        <v>#REF!</v>
      </c>
      <c r="F45" s="117" t="e">
        <f>+'INV-PO04774'!#REF!</f>
        <v>#REF!</v>
      </c>
      <c r="G45" s="117" t="e">
        <f>+'INV-PO04774'!#REF!</f>
        <v>#REF!</v>
      </c>
      <c r="H45" s="655" t="e">
        <f>+'INV-PO04774'!#REF!</f>
        <v>#REF!</v>
      </c>
      <c r="I45" s="655"/>
      <c r="J45" s="656"/>
      <c r="K45" s="118" t="e">
        <f>+'INV-PO04774'!#REF!</f>
        <v>#REF!</v>
      </c>
      <c r="L45" s="119" t="s">
        <v>86</v>
      </c>
      <c r="M45" s="120" t="s">
        <v>126</v>
      </c>
      <c r="N45" s="121" t="e">
        <f>+'INV-PO04774'!#REF!</f>
        <v>#REF!</v>
      </c>
      <c r="O45" s="122" t="s">
        <v>126</v>
      </c>
      <c r="P45" s="123" t="e">
        <f t="shared" si="0"/>
        <v>#REF!</v>
      </c>
    </row>
    <row r="46" spans="1:16" ht="16.5" customHeight="1">
      <c r="A46" s="113"/>
      <c r="B46" s="114" t="str">
        <f>+'INV-PO04774'!B36</f>
        <v>TCW7113-6303</v>
      </c>
      <c r="C46" s="115" t="str">
        <f>+'INV-PO04774'!I36</f>
        <v>6204.63.62.10</v>
      </c>
      <c r="D46" s="225" t="e">
        <f>+#REF!</f>
        <v>#REF!</v>
      </c>
      <c r="E46" s="116" t="str">
        <f>+'INV-PO04774'!D36</f>
        <v>W Cowen Pant</v>
      </c>
      <c r="F46" s="117" t="str">
        <f>+'INV-PO04774'!F36</f>
        <v>Pants</v>
      </c>
      <c r="G46" s="117" t="str">
        <f>+'INV-PO04774'!G36</f>
        <v>Womens</v>
      </c>
      <c r="H46" s="655" t="str">
        <f>+'INV-PO04774'!H36</f>
        <v>90% Recycled Polyester, 10% Spandex</v>
      </c>
      <c r="I46" s="655"/>
      <c r="J46" s="656"/>
      <c r="K46" s="118" t="e">
        <f>+'INV-PO04774'!#REF!</f>
        <v>#REF!</v>
      </c>
      <c r="L46" s="119" t="s">
        <v>86</v>
      </c>
      <c r="M46" s="120" t="s">
        <v>126</v>
      </c>
      <c r="N46" s="121" t="e">
        <f>+'INV-PO04774'!#REF!</f>
        <v>#REF!</v>
      </c>
      <c r="O46" s="122" t="s">
        <v>126</v>
      </c>
      <c r="P46" s="123" t="e">
        <f t="shared" si="0"/>
        <v>#REF!</v>
      </c>
    </row>
    <row r="47" spans="1:16" ht="16.5" customHeight="1">
      <c r="A47" s="113"/>
      <c r="B47" s="114" t="e">
        <f>+'INV-PO04774'!#REF!</f>
        <v>#REF!</v>
      </c>
      <c r="C47" s="115" t="e">
        <f>+'INV-PO04774'!#REF!</f>
        <v>#REF!</v>
      </c>
      <c r="D47" s="225" t="e">
        <f>+#REF!</f>
        <v>#REF!</v>
      </c>
      <c r="E47" s="116" t="e">
        <f>+'INV-PO04774'!#REF!</f>
        <v>#REF!</v>
      </c>
      <c r="F47" s="117" t="e">
        <f>+'INV-PO04774'!#REF!</f>
        <v>#REF!</v>
      </c>
      <c r="G47" s="117" t="e">
        <f>+'INV-PO04774'!#REF!</f>
        <v>#REF!</v>
      </c>
      <c r="H47" s="655" t="e">
        <f>+'INV-PO04774'!#REF!</f>
        <v>#REF!</v>
      </c>
      <c r="I47" s="655"/>
      <c r="J47" s="656"/>
      <c r="K47" s="118" t="e">
        <f>+'INV-PO04774'!#REF!</f>
        <v>#REF!</v>
      </c>
      <c r="L47" s="119" t="s">
        <v>86</v>
      </c>
      <c r="M47" s="120" t="s">
        <v>126</v>
      </c>
      <c r="N47" s="121" t="e">
        <f>+'INV-PO04774'!#REF!</f>
        <v>#REF!</v>
      </c>
      <c r="O47" s="122" t="s">
        <v>126</v>
      </c>
      <c r="P47" s="123" t="e">
        <f t="shared" si="0"/>
        <v>#REF!</v>
      </c>
    </row>
    <row r="48" spans="1:16" ht="16.5" customHeight="1">
      <c r="A48" s="113"/>
      <c r="B48" s="114" t="e">
        <f>+'INV-PO04774'!#REF!</f>
        <v>#REF!</v>
      </c>
      <c r="C48" s="115" t="e">
        <f>+'INV-PO04774'!#REF!</f>
        <v>#REF!</v>
      </c>
      <c r="D48" s="225" t="e">
        <f>+#REF!</f>
        <v>#REF!</v>
      </c>
      <c r="E48" s="116" t="e">
        <f>+'INV-PO04774'!#REF!</f>
        <v>#REF!</v>
      </c>
      <c r="F48" s="117" t="e">
        <f>+'INV-PO04774'!#REF!</f>
        <v>#REF!</v>
      </c>
      <c r="G48" s="117" t="e">
        <f>+'INV-PO04774'!#REF!</f>
        <v>#REF!</v>
      </c>
      <c r="H48" s="655" t="e">
        <f>+'INV-PO04774'!#REF!</f>
        <v>#REF!</v>
      </c>
      <c r="I48" s="655"/>
      <c r="J48" s="656"/>
      <c r="K48" s="118" t="e">
        <f>+'INV-PO04774'!#REF!</f>
        <v>#REF!</v>
      </c>
      <c r="L48" s="119" t="s">
        <v>86</v>
      </c>
      <c r="M48" s="120" t="s">
        <v>126</v>
      </c>
      <c r="N48" s="121" t="e">
        <f>+'INV-PO04774'!#REF!</f>
        <v>#REF!</v>
      </c>
      <c r="O48" s="122" t="s">
        <v>126</v>
      </c>
      <c r="P48" s="123" t="e">
        <f t="shared" si="0"/>
        <v>#REF!</v>
      </c>
    </row>
    <row r="49" spans="1:16" ht="16.5" customHeight="1">
      <c r="A49" s="113"/>
      <c r="B49" s="114" t="str">
        <f>+'INV-PO04774'!B38</f>
        <v>TCM6797-0164</v>
      </c>
      <c r="C49" s="115" t="str">
        <f>+'INV-PO04774'!I38</f>
        <v>6203.43.62.10</v>
      </c>
      <c r="D49" s="225" t="e">
        <f>+#REF!</f>
        <v>#REF!</v>
      </c>
      <c r="E49" s="116" t="str">
        <f>+'INV-PO04774'!D38</f>
        <v>M Simcoe Pant</v>
      </c>
      <c r="F49" s="117" t="str">
        <f>+'INV-PO04774'!F38</f>
        <v>Pants</v>
      </c>
      <c r="G49" s="117" t="str">
        <f>+'INV-PO04774'!G38</f>
        <v>Mens</v>
      </c>
      <c r="H49" s="655" t="str">
        <f>+'INV-PO04774'!H38</f>
        <v>90% Recycled Polyester, 10% Spandex</v>
      </c>
      <c r="I49" s="655"/>
      <c r="J49" s="656"/>
      <c r="K49" s="118">
        <f>+'INV-PO04774'!J30</f>
        <v>50</v>
      </c>
      <c r="L49" s="119" t="s">
        <v>86</v>
      </c>
      <c r="M49" s="120" t="s">
        <v>126</v>
      </c>
      <c r="N49" s="121">
        <f>+'INV-PO04774'!K30</f>
        <v>25.4</v>
      </c>
      <c r="O49" s="122" t="s">
        <v>126</v>
      </c>
      <c r="P49" s="123">
        <f t="shared" si="0"/>
        <v>1270</v>
      </c>
    </row>
    <row r="50" spans="1:16" ht="16.5" customHeight="1">
      <c r="A50" s="113"/>
      <c r="B50" s="114" t="e">
        <f>+'INV-PO04774'!#REF!</f>
        <v>#REF!</v>
      </c>
      <c r="C50" s="115" t="e">
        <f>+'INV-PO04774'!#REF!</f>
        <v>#REF!</v>
      </c>
      <c r="D50" s="225" t="e">
        <f>+#REF!</f>
        <v>#REF!</v>
      </c>
      <c r="E50" s="116" t="e">
        <f>+'INV-PO04774'!#REF!</f>
        <v>#REF!</v>
      </c>
      <c r="F50" s="117" t="e">
        <f>+'INV-PO04774'!#REF!</f>
        <v>#REF!</v>
      </c>
      <c r="G50" s="117" t="e">
        <f>+'INV-PO04774'!#REF!</f>
        <v>#REF!</v>
      </c>
      <c r="H50" s="655" t="e">
        <f>+'INV-PO04774'!#REF!</f>
        <v>#REF!</v>
      </c>
      <c r="I50" s="655"/>
      <c r="J50" s="656"/>
      <c r="K50" s="118" t="e">
        <f>+'INV-PO04774'!#REF!</f>
        <v>#REF!</v>
      </c>
      <c r="L50" s="119" t="s">
        <v>86</v>
      </c>
      <c r="M50" s="120" t="s">
        <v>126</v>
      </c>
      <c r="N50" s="121" t="e">
        <f>+'INV-PO04774'!#REF!</f>
        <v>#REF!</v>
      </c>
      <c r="O50" s="122" t="s">
        <v>126</v>
      </c>
      <c r="P50" s="123" t="e">
        <f t="shared" si="0"/>
        <v>#REF!</v>
      </c>
    </row>
    <row r="51" spans="1:16" ht="16.5" customHeight="1">
      <c r="A51" s="113"/>
      <c r="B51" s="114" t="e">
        <f>+'INV-PO04774'!#REF!</f>
        <v>#REF!</v>
      </c>
      <c r="C51" s="115" t="e">
        <f>+'INV-PO04774'!#REF!</f>
        <v>#REF!</v>
      </c>
      <c r="D51" s="225" t="e">
        <f>+#REF!</f>
        <v>#REF!</v>
      </c>
      <c r="E51" s="116" t="e">
        <f>+'INV-PO04774'!#REF!</f>
        <v>#REF!</v>
      </c>
      <c r="F51" s="117" t="e">
        <f>+'INV-PO04774'!#REF!</f>
        <v>#REF!</v>
      </c>
      <c r="G51" s="117" t="e">
        <f>+'INV-PO04774'!#REF!</f>
        <v>#REF!</v>
      </c>
      <c r="H51" s="655" t="e">
        <f>+'INV-PO04774'!#REF!</f>
        <v>#REF!</v>
      </c>
      <c r="I51" s="655"/>
      <c r="J51" s="656"/>
      <c r="K51" s="118" t="e">
        <f>+'INV-PO04774'!#REF!</f>
        <v>#REF!</v>
      </c>
      <c r="L51" s="119" t="s">
        <v>86</v>
      </c>
      <c r="M51" s="120" t="s">
        <v>126</v>
      </c>
      <c r="N51" s="121" t="e">
        <f>+'INV-PO04774'!#REF!</f>
        <v>#REF!</v>
      </c>
      <c r="O51" s="122" t="s">
        <v>126</v>
      </c>
      <c r="P51" s="123" t="e">
        <f t="shared" si="0"/>
        <v>#REF!</v>
      </c>
    </row>
    <row r="52" spans="1:16" ht="16.5" customHeight="1">
      <c r="A52" s="113"/>
      <c r="B52" s="114" t="str">
        <f>+'INV-PO04774'!B39</f>
        <v>TCW5674-6391</v>
      </c>
      <c r="C52" s="115" t="str">
        <f>+'INV-PO04774'!I39</f>
        <v>6204.63.62.10</v>
      </c>
      <c r="D52" s="225" t="e">
        <f>+#REF!</f>
        <v>#REF!</v>
      </c>
      <c r="E52" s="116" t="str">
        <f>+'INV-PO04774'!D39</f>
        <v>W Yaletown Skirt</v>
      </c>
      <c r="F52" s="117" t="str">
        <f>+'INV-PO04774'!F39</f>
        <v>Pants</v>
      </c>
      <c r="G52" s="117" t="str">
        <f>+'INV-PO04774'!G39</f>
        <v>Womens</v>
      </c>
      <c r="H52" s="655" t="str">
        <f>+'INV-PO04774'!H39</f>
        <v>100% ECOVERO -Sustainable Viscose by Lenzing</v>
      </c>
      <c r="I52" s="655"/>
      <c r="J52" s="656"/>
      <c r="K52" s="118" t="e">
        <f>+'INV-PO04774'!#REF!</f>
        <v>#REF!</v>
      </c>
      <c r="L52" s="119" t="s">
        <v>86</v>
      </c>
      <c r="M52" s="120" t="s">
        <v>126</v>
      </c>
      <c r="N52" s="121" t="e">
        <f>+'INV-PO04774'!#REF!</f>
        <v>#REF!</v>
      </c>
      <c r="O52" s="122" t="s">
        <v>126</v>
      </c>
      <c r="P52" s="123" t="e">
        <f t="shared" ref="P52:P71" si="1">N52*K52</f>
        <v>#REF!</v>
      </c>
    </row>
    <row r="53" spans="1:16" ht="16.5" customHeight="1">
      <c r="A53" s="113"/>
      <c r="B53" s="114" t="e">
        <f>+'INV-PO04774'!#REF!</f>
        <v>#REF!</v>
      </c>
      <c r="C53" s="115" t="e">
        <f>+'INV-PO04774'!#REF!</f>
        <v>#REF!</v>
      </c>
      <c r="D53" s="225" t="e">
        <f>+#REF!</f>
        <v>#REF!</v>
      </c>
      <c r="E53" s="116" t="e">
        <f>+'INV-PO04774'!#REF!</f>
        <v>#REF!</v>
      </c>
      <c r="F53" s="117" t="e">
        <f>+'INV-PO04774'!#REF!</f>
        <v>#REF!</v>
      </c>
      <c r="G53" s="117" t="e">
        <f>+'INV-PO04774'!#REF!</f>
        <v>#REF!</v>
      </c>
      <c r="H53" s="655" t="e">
        <f>+'INV-PO04774'!#REF!</f>
        <v>#REF!</v>
      </c>
      <c r="I53" s="655"/>
      <c r="J53" s="656"/>
      <c r="K53" s="118">
        <f>+'INV-PO04774'!J32</f>
        <v>79</v>
      </c>
      <c r="L53" s="119" t="s">
        <v>86</v>
      </c>
      <c r="M53" s="120" t="s">
        <v>126</v>
      </c>
      <c r="N53" s="121">
        <f>+'INV-PO04774'!K32</f>
        <v>21.85</v>
      </c>
      <c r="O53" s="122" t="s">
        <v>126</v>
      </c>
      <c r="P53" s="123">
        <f t="shared" si="1"/>
        <v>1726.15</v>
      </c>
    </row>
    <row r="54" spans="1:16" ht="16.5" customHeight="1">
      <c r="A54" s="113"/>
      <c r="B54" s="114" t="e">
        <f>+'INV-PO04774'!#REF!</f>
        <v>#REF!</v>
      </c>
      <c r="C54" s="115" t="e">
        <f>+'INV-PO04774'!#REF!</f>
        <v>#REF!</v>
      </c>
      <c r="D54" s="225" t="e">
        <f>+#REF!</f>
        <v>#REF!</v>
      </c>
      <c r="E54" s="116" t="e">
        <f>+'INV-PO04774'!#REF!</f>
        <v>#REF!</v>
      </c>
      <c r="F54" s="117" t="e">
        <f>+'INV-PO04774'!#REF!</f>
        <v>#REF!</v>
      </c>
      <c r="G54" s="117" t="e">
        <f>+'INV-PO04774'!#REF!</f>
        <v>#REF!</v>
      </c>
      <c r="H54" s="655" t="e">
        <f>+'INV-PO04774'!#REF!</f>
        <v>#REF!</v>
      </c>
      <c r="I54" s="655"/>
      <c r="J54" s="656"/>
      <c r="K54" s="118" t="e">
        <f>+'INV-PO04774'!#REF!</f>
        <v>#REF!</v>
      </c>
      <c r="L54" s="119" t="s">
        <v>86</v>
      </c>
      <c r="M54" s="120" t="s">
        <v>126</v>
      </c>
      <c r="N54" s="121" t="e">
        <f>+'INV-PO04774'!#REF!</f>
        <v>#REF!</v>
      </c>
      <c r="O54" s="122" t="s">
        <v>126</v>
      </c>
      <c r="P54" s="123" t="e">
        <f t="shared" si="1"/>
        <v>#REF!</v>
      </c>
    </row>
    <row r="55" spans="1:16" ht="16.5" customHeight="1">
      <c r="A55" s="113"/>
      <c r="B55" s="114" t="e">
        <f>+'INV-PO04774'!#REF!</f>
        <v>#REF!</v>
      </c>
      <c r="C55" s="115" t="e">
        <f>+'INV-PO04774'!#REF!</f>
        <v>#REF!</v>
      </c>
      <c r="D55" s="225" t="e">
        <f>+#REF!</f>
        <v>#REF!</v>
      </c>
      <c r="E55" s="116" t="e">
        <f>+'INV-PO04774'!#REF!</f>
        <v>#REF!</v>
      </c>
      <c r="F55" s="117" t="e">
        <f>+'INV-PO04774'!#REF!</f>
        <v>#REF!</v>
      </c>
      <c r="G55" s="117" t="e">
        <f>+'INV-PO04774'!#REF!</f>
        <v>#REF!</v>
      </c>
      <c r="H55" s="655" t="e">
        <f>+'INV-PO04774'!#REF!</f>
        <v>#REF!</v>
      </c>
      <c r="I55" s="655"/>
      <c r="J55" s="656"/>
      <c r="K55" s="118">
        <f>+'INV-PO04774'!J36</f>
        <v>41</v>
      </c>
      <c r="L55" s="119" t="s">
        <v>86</v>
      </c>
      <c r="M55" s="120" t="s">
        <v>126</v>
      </c>
      <c r="N55" s="121">
        <f>+'INV-PO04774'!K36</f>
        <v>22.5</v>
      </c>
      <c r="O55" s="122" t="s">
        <v>126</v>
      </c>
      <c r="P55" s="123">
        <f t="shared" si="1"/>
        <v>922.5</v>
      </c>
    </row>
    <row r="56" spans="1:16" ht="16.5" customHeight="1">
      <c r="A56" s="113"/>
      <c r="B56" s="114" t="e">
        <f>+'INV-PO04774'!#REF!</f>
        <v>#REF!</v>
      </c>
      <c r="C56" s="115" t="e">
        <f>+'INV-PO04774'!#REF!</f>
        <v>#REF!</v>
      </c>
      <c r="D56" s="225" t="e">
        <f>+#REF!</f>
        <v>#REF!</v>
      </c>
      <c r="E56" s="116" t="e">
        <f>+'INV-PO04774'!#REF!</f>
        <v>#REF!</v>
      </c>
      <c r="F56" s="117" t="e">
        <f>+'INV-PO04774'!#REF!</f>
        <v>#REF!</v>
      </c>
      <c r="G56" s="117" t="e">
        <f>+'INV-PO04774'!#REF!</f>
        <v>#REF!</v>
      </c>
      <c r="H56" s="655" t="e">
        <f>+'INV-PO04774'!#REF!</f>
        <v>#REF!</v>
      </c>
      <c r="I56" s="655"/>
      <c r="J56" s="656"/>
      <c r="K56" s="118" t="e">
        <f>+'INV-PO04774'!#REF!</f>
        <v>#REF!</v>
      </c>
      <c r="L56" s="119" t="s">
        <v>86</v>
      </c>
      <c r="M56" s="120" t="s">
        <v>126</v>
      </c>
      <c r="N56" s="121" t="e">
        <f>+'INV-PO04774'!#REF!</f>
        <v>#REF!</v>
      </c>
      <c r="O56" s="122" t="s">
        <v>126</v>
      </c>
      <c r="P56" s="123" t="e">
        <f t="shared" si="1"/>
        <v>#REF!</v>
      </c>
    </row>
    <row r="57" spans="1:16" ht="16.5" customHeight="1">
      <c r="A57" s="113"/>
      <c r="B57" s="114" t="e">
        <f>+'INV-PO04774'!#REF!</f>
        <v>#REF!</v>
      </c>
      <c r="C57" s="115" t="e">
        <f>+'INV-PO04774'!#REF!</f>
        <v>#REF!</v>
      </c>
      <c r="D57" s="225" t="e">
        <f>+#REF!</f>
        <v>#REF!</v>
      </c>
      <c r="E57" s="116" t="e">
        <f>+'INV-PO04774'!#REF!</f>
        <v>#REF!</v>
      </c>
      <c r="F57" s="117" t="e">
        <f>+'INV-PO04774'!#REF!</f>
        <v>#REF!</v>
      </c>
      <c r="G57" s="117" t="e">
        <f>+'INV-PO04774'!#REF!</f>
        <v>#REF!</v>
      </c>
      <c r="H57" s="655" t="e">
        <f>+'INV-PO04774'!#REF!</f>
        <v>#REF!</v>
      </c>
      <c r="I57" s="655"/>
      <c r="J57" s="656"/>
      <c r="K57" s="118" t="e">
        <f>+'INV-PO04774'!#REF!</f>
        <v>#REF!</v>
      </c>
      <c r="L57" s="119" t="s">
        <v>86</v>
      </c>
      <c r="M57" s="120" t="s">
        <v>126</v>
      </c>
      <c r="N57" s="121" t="e">
        <f>+'INV-PO04774'!#REF!</f>
        <v>#REF!</v>
      </c>
      <c r="O57" s="122" t="s">
        <v>126</v>
      </c>
      <c r="P57" s="123" t="e">
        <f t="shared" si="1"/>
        <v>#REF!</v>
      </c>
    </row>
    <row r="58" spans="1:16" ht="16.5" customHeight="1">
      <c r="A58" s="113"/>
      <c r="B58" s="114" t="e">
        <f>+'INV-PO04774'!#REF!</f>
        <v>#REF!</v>
      </c>
      <c r="C58" s="115" t="e">
        <f>+'INV-PO04774'!#REF!</f>
        <v>#REF!</v>
      </c>
      <c r="D58" s="225" t="e">
        <f>+#REF!</f>
        <v>#REF!</v>
      </c>
      <c r="E58" s="116" t="e">
        <f>+'INV-PO04774'!#REF!</f>
        <v>#REF!</v>
      </c>
      <c r="F58" s="117" t="e">
        <f>+'INV-PO04774'!#REF!</f>
        <v>#REF!</v>
      </c>
      <c r="G58" s="117" t="e">
        <f>+'INV-PO04774'!#REF!</f>
        <v>#REF!</v>
      </c>
      <c r="H58" s="655" t="e">
        <f>+'INV-PO04774'!#REF!</f>
        <v>#REF!</v>
      </c>
      <c r="I58" s="655"/>
      <c r="J58" s="656"/>
      <c r="K58" s="118">
        <f>+'INV-PO04774'!J39</f>
        <v>149</v>
      </c>
      <c r="L58" s="119" t="s">
        <v>86</v>
      </c>
      <c r="M58" s="120" t="s">
        <v>126</v>
      </c>
      <c r="N58" s="121">
        <f>+'INV-PO04774'!K39</f>
        <v>14.73</v>
      </c>
      <c r="O58" s="122" t="s">
        <v>126</v>
      </c>
      <c r="P58" s="123">
        <f t="shared" si="1"/>
        <v>2194.77</v>
      </c>
    </row>
    <row r="59" spans="1:16" ht="16.5" customHeight="1">
      <c r="A59" s="113"/>
      <c r="B59" s="114" t="e">
        <f>+'INV-PO04774'!#REF!</f>
        <v>#REF!</v>
      </c>
      <c r="C59" s="115" t="e">
        <f>+'INV-PO04774'!#REF!</f>
        <v>#REF!</v>
      </c>
      <c r="D59" s="225" t="e">
        <f>+#REF!</f>
        <v>#REF!</v>
      </c>
      <c r="E59" s="116" t="e">
        <f>+'INV-PO04774'!#REF!</f>
        <v>#REF!</v>
      </c>
      <c r="F59" s="117" t="e">
        <f>+'INV-PO04774'!#REF!</f>
        <v>#REF!</v>
      </c>
      <c r="G59" s="117" t="e">
        <f>+'INV-PO04774'!#REF!</f>
        <v>#REF!</v>
      </c>
      <c r="H59" s="655" t="e">
        <f>+'INV-PO04774'!#REF!</f>
        <v>#REF!</v>
      </c>
      <c r="I59" s="655"/>
      <c r="J59" s="656"/>
      <c r="K59" s="118" t="e">
        <f>+'INV-PO04774'!#REF!</f>
        <v>#REF!</v>
      </c>
      <c r="L59" s="119" t="s">
        <v>86</v>
      </c>
      <c r="M59" s="120" t="s">
        <v>126</v>
      </c>
      <c r="N59" s="121" t="e">
        <f>+'INV-PO04774'!#REF!</f>
        <v>#REF!</v>
      </c>
      <c r="O59" s="122" t="s">
        <v>126</v>
      </c>
      <c r="P59" s="123" t="e">
        <f t="shared" si="1"/>
        <v>#REF!</v>
      </c>
    </row>
    <row r="60" spans="1:16" ht="16.5" customHeight="1">
      <c r="A60" s="113"/>
      <c r="B60" s="114" t="e">
        <f>+'INV-PO04774'!#REF!</f>
        <v>#REF!</v>
      </c>
      <c r="C60" s="115" t="e">
        <f>+'INV-PO04774'!#REF!</f>
        <v>#REF!</v>
      </c>
      <c r="D60" s="225" t="e">
        <f>+#REF!</f>
        <v>#REF!</v>
      </c>
      <c r="E60" s="116" t="e">
        <f>+'INV-PO04774'!#REF!</f>
        <v>#REF!</v>
      </c>
      <c r="F60" s="117" t="e">
        <f>+'INV-PO04774'!#REF!</f>
        <v>#REF!</v>
      </c>
      <c r="G60" s="117" t="e">
        <f>+'INV-PO04774'!#REF!</f>
        <v>#REF!</v>
      </c>
      <c r="H60" s="655" t="e">
        <f>+'INV-PO04774'!#REF!</f>
        <v>#REF!</v>
      </c>
      <c r="I60" s="655"/>
      <c r="J60" s="656"/>
      <c r="K60" s="118" t="e">
        <f>+'INV-PO04774'!#REF!</f>
        <v>#REF!</v>
      </c>
      <c r="L60" s="119" t="s">
        <v>86</v>
      </c>
      <c r="M60" s="120" t="s">
        <v>126</v>
      </c>
      <c r="N60" s="121" t="e">
        <f>+'INV-PO04774'!#REF!</f>
        <v>#REF!</v>
      </c>
      <c r="O60" s="122" t="s">
        <v>126</v>
      </c>
      <c r="P60" s="123" t="e">
        <f t="shared" si="1"/>
        <v>#REF!</v>
      </c>
    </row>
    <row r="61" spans="1:16" ht="16.5" customHeight="1">
      <c r="A61" s="113"/>
      <c r="B61" s="114" t="e">
        <f>+'INV-PO04774'!#REF!</f>
        <v>#REF!</v>
      </c>
      <c r="C61" s="115" t="e">
        <f>+'INV-PO04774'!#REF!</f>
        <v>#REF!</v>
      </c>
      <c r="D61" s="225" t="e">
        <f>+#REF!</f>
        <v>#REF!</v>
      </c>
      <c r="E61" s="116" t="e">
        <f>+'INV-PO04774'!#REF!</f>
        <v>#REF!</v>
      </c>
      <c r="F61" s="117" t="e">
        <f>+'INV-PO04774'!#REF!</f>
        <v>#REF!</v>
      </c>
      <c r="G61" s="117" t="e">
        <f>+'INV-PO04774'!#REF!</f>
        <v>#REF!</v>
      </c>
      <c r="H61" s="655" t="e">
        <f>+'INV-PO04774'!#REF!</f>
        <v>#REF!</v>
      </c>
      <c r="I61" s="655"/>
      <c r="J61" s="656"/>
      <c r="K61" s="118" t="e">
        <f>+'INV-PO04774'!#REF!</f>
        <v>#REF!</v>
      </c>
      <c r="L61" s="119" t="s">
        <v>86</v>
      </c>
      <c r="M61" s="120" t="s">
        <v>126</v>
      </c>
      <c r="N61" s="121" t="e">
        <f>+'INV-PO04774'!#REF!</f>
        <v>#REF!</v>
      </c>
      <c r="O61" s="122" t="s">
        <v>126</v>
      </c>
      <c r="P61" s="123" t="e">
        <f t="shared" si="1"/>
        <v>#REF!</v>
      </c>
    </row>
    <row r="62" spans="1:16" ht="16.5" customHeight="1">
      <c r="A62" s="113"/>
      <c r="B62" s="114" t="e">
        <f>+'INV-PO04774'!#REF!</f>
        <v>#REF!</v>
      </c>
      <c r="C62" s="115" t="e">
        <f>+'INV-PO04774'!#REF!</f>
        <v>#REF!</v>
      </c>
      <c r="D62" s="225" t="e">
        <f>+#REF!</f>
        <v>#REF!</v>
      </c>
      <c r="E62" s="116" t="e">
        <f>+'INV-PO04774'!#REF!</f>
        <v>#REF!</v>
      </c>
      <c r="F62" s="117" t="e">
        <f>+'INV-PO04774'!#REF!</f>
        <v>#REF!</v>
      </c>
      <c r="G62" s="117" t="e">
        <f>+'INV-PO04774'!#REF!</f>
        <v>#REF!</v>
      </c>
      <c r="H62" s="655" t="e">
        <f>+'INV-PO04774'!#REF!</f>
        <v>#REF!</v>
      </c>
      <c r="I62" s="655"/>
      <c r="J62" s="656"/>
      <c r="K62" s="118" t="e">
        <f>+'INV-PO04774'!#REF!</f>
        <v>#REF!</v>
      </c>
      <c r="L62" s="119" t="s">
        <v>86</v>
      </c>
      <c r="M62" s="120" t="s">
        <v>126</v>
      </c>
      <c r="N62" s="121" t="e">
        <f>+'INV-PO04774'!#REF!</f>
        <v>#REF!</v>
      </c>
      <c r="O62" s="122" t="s">
        <v>126</v>
      </c>
      <c r="P62" s="123" t="e">
        <f t="shared" si="1"/>
        <v>#REF!</v>
      </c>
    </row>
    <row r="63" spans="1:16" ht="16.5" customHeight="1">
      <c r="A63" s="113"/>
      <c r="B63" s="114" t="e">
        <f>+'INV-PO04774'!#REF!</f>
        <v>#REF!</v>
      </c>
      <c r="C63" s="115" t="e">
        <f>+'INV-PO04774'!#REF!</f>
        <v>#REF!</v>
      </c>
      <c r="D63" s="225" t="e">
        <f>+#REF!</f>
        <v>#REF!</v>
      </c>
      <c r="E63" s="116" t="e">
        <f>+'INV-PO04774'!#REF!</f>
        <v>#REF!</v>
      </c>
      <c r="F63" s="117" t="e">
        <f>+'INV-PO04774'!#REF!</f>
        <v>#REF!</v>
      </c>
      <c r="G63" s="117" t="e">
        <f>+'INV-PO04774'!#REF!</f>
        <v>#REF!</v>
      </c>
      <c r="H63" s="655" t="e">
        <f>+'INV-PO04774'!#REF!</f>
        <v>#REF!</v>
      </c>
      <c r="I63" s="655"/>
      <c r="J63" s="656"/>
      <c r="K63" s="118" t="e">
        <f>+'INV-PO04774'!#REF!</f>
        <v>#REF!</v>
      </c>
      <c r="L63" s="119" t="s">
        <v>86</v>
      </c>
      <c r="M63" s="120" t="s">
        <v>126</v>
      </c>
      <c r="N63" s="121" t="e">
        <f>+'INV-PO04774'!#REF!</f>
        <v>#REF!</v>
      </c>
      <c r="O63" s="122" t="s">
        <v>126</v>
      </c>
      <c r="P63" s="123" t="e">
        <f t="shared" si="1"/>
        <v>#REF!</v>
      </c>
    </row>
    <row r="64" spans="1:16" ht="16.5" customHeight="1">
      <c r="A64" s="113"/>
      <c r="B64" s="114" t="e">
        <f>+'INV-PO04774'!#REF!</f>
        <v>#REF!</v>
      </c>
      <c r="C64" s="115" t="e">
        <f>+'INV-PO04774'!#REF!</f>
        <v>#REF!</v>
      </c>
      <c r="D64" s="225" t="e">
        <f>+#REF!</f>
        <v>#REF!</v>
      </c>
      <c r="E64" s="116" t="e">
        <f>+'INV-PO04774'!#REF!</f>
        <v>#REF!</v>
      </c>
      <c r="F64" s="117" t="e">
        <f>+'INV-PO04774'!#REF!</f>
        <v>#REF!</v>
      </c>
      <c r="G64" s="117" t="e">
        <f>+'INV-PO04774'!#REF!</f>
        <v>#REF!</v>
      </c>
      <c r="H64" s="655" t="e">
        <f>+'INV-PO04774'!#REF!</f>
        <v>#REF!</v>
      </c>
      <c r="I64" s="655"/>
      <c r="J64" s="656"/>
      <c r="K64" s="118" t="e">
        <f>+'INV-PO04774'!#REF!</f>
        <v>#REF!</v>
      </c>
      <c r="L64" s="119" t="s">
        <v>86</v>
      </c>
      <c r="M64" s="120" t="s">
        <v>126</v>
      </c>
      <c r="N64" s="121" t="e">
        <f>+'INV-PO04774'!#REF!</f>
        <v>#REF!</v>
      </c>
      <c r="O64" s="122" t="s">
        <v>126</v>
      </c>
      <c r="P64" s="123" t="e">
        <f t="shared" si="1"/>
        <v>#REF!</v>
      </c>
    </row>
    <row r="65" spans="1:16" ht="16.5" customHeight="1">
      <c r="A65" s="113"/>
      <c r="B65" s="114" t="e">
        <f>+'INV-PO04774'!#REF!</f>
        <v>#REF!</v>
      </c>
      <c r="C65" s="115" t="e">
        <f>+'INV-PO04774'!#REF!</f>
        <v>#REF!</v>
      </c>
      <c r="D65" s="225" t="e">
        <f>+#REF!</f>
        <v>#REF!</v>
      </c>
      <c r="E65" s="116" t="e">
        <f>+'INV-PO04774'!#REF!</f>
        <v>#REF!</v>
      </c>
      <c r="F65" s="117" t="e">
        <f>+'INV-PO04774'!#REF!</f>
        <v>#REF!</v>
      </c>
      <c r="G65" s="117" t="e">
        <f>+'INV-PO04774'!#REF!</f>
        <v>#REF!</v>
      </c>
      <c r="H65" s="655" t="e">
        <f>+'INV-PO04774'!#REF!</f>
        <v>#REF!</v>
      </c>
      <c r="I65" s="655"/>
      <c r="J65" s="656"/>
      <c r="K65" s="118" t="e">
        <f>+'INV-PO04774'!#REF!</f>
        <v>#REF!</v>
      </c>
      <c r="L65" s="119" t="s">
        <v>86</v>
      </c>
      <c r="M65" s="120" t="s">
        <v>126</v>
      </c>
      <c r="N65" s="121" t="e">
        <f>+'INV-PO04774'!#REF!</f>
        <v>#REF!</v>
      </c>
      <c r="O65" s="122" t="s">
        <v>126</v>
      </c>
      <c r="P65" s="123" t="e">
        <f t="shared" si="1"/>
        <v>#REF!</v>
      </c>
    </row>
    <row r="66" spans="1:16" ht="16.5" customHeight="1">
      <c r="A66" s="113"/>
      <c r="B66" s="114" t="e">
        <f>+'INV-PO04774'!#REF!</f>
        <v>#REF!</v>
      </c>
      <c r="C66" s="115" t="e">
        <f>+'INV-PO04774'!#REF!</f>
        <v>#REF!</v>
      </c>
      <c r="D66" s="225" t="e">
        <f>+#REF!</f>
        <v>#REF!</v>
      </c>
      <c r="E66" s="116" t="e">
        <f>+'INV-PO04774'!#REF!</f>
        <v>#REF!</v>
      </c>
      <c r="F66" s="117" t="e">
        <f>+'INV-PO04774'!#REF!</f>
        <v>#REF!</v>
      </c>
      <c r="G66" s="117" t="e">
        <f>+'INV-PO04774'!#REF!</f>
        <v>#REF!</v>
      </c>
      <c r="H66" s="655" t="e">
        <f>+'INV-PO04774'!#REF!</f>
        <v>#REF!</v>
      </c>
      <c r="I66" s="655"/>
      <c r="J66" s="656"/>
      <c r="K66" s="118" t="e">
        <f>+'INV-PO04774'!#REF!</f>
        <v>#REF!</v>
      </c>
      <c r="L66" s="119" t="s">
        <v>86</v>
      </c>
      <c r="M66" s="120" t="s">
        <v>126</v>
      </c>
      <c r="N66" s="121" t="e">
        <f>+'INV-PO04774'!#REF!</f>
        <v>#REF!</v>
      </c>
      <c r="O66" s="122" t="s">
        <v>126</v>
      </c>
      <c r="P66" s="123" t="e">
        <f t="shared" si="1"/>
        <v>#REF!</v>
      </c>
    </row>
    <row r="67" spans="1:16" ht="16.5" customHeight="1">
      <c r="A67" s="113"/>
      <c r="B67" s="114" t="e">
        <f>+'INV-PO04774'!#REF!</f>
        <v>#REF!</v>
      </c>
      <c r="C67" s="115" t="e">
        <f>+'INV-PO04774'!#REF!</f>
        <v>#REF!</v>
      </c>
      <c r="D67" s="225" t="e">
        <f>+#REF!</f>
        <v>#REF!</v>
      </c>
      <c r="E67" s="116" t="e">
        <f>+'INV-PO04774'!#REF!</f>
        <v>#REF!</v>
      </c>
      <c r="F67" s="117" t="e">
        <f>+'INV-PO04774'!#REF!</f>
        <v>#REF!</v>
      </c>
      <c r="G67" s="117" t="e">
        <f>+'INV-PO04774'!#REF!</f>
        <v>#REF!</v>
      </c>
      <c r="H67" s="655" t="e">
        <f>+'INV-PO04774'!#REF!</f>
        <v>#REF!</v>
      </c>
      <c r="I67" s="655"/>
      <c r="J67" s="656"/>
      <c r="K67" s="118" t="e">
        <f>+'INV-PO04774'!#REF!</f>
        <v>#REF!</v>
      </c>
      <c r="L67" s="119" t="s">
        <v>86</v>
      </c>
      <c r="M67" s="120" t="s">
        <v>126</v>
      </c>
      <c r="N67" s="121" t="e">
        <f>+'INV-PO04774'!#REF!</f>
        <v>#REF!</v>
      </c>
      <c r="O67" s="122" t="s">
        <v>126</v>
      </c>
      <c r="P67" s="123" t="e">
        <f t="shared" si="1"/>
        <v>#REF!</v>
      </c>
    </row>
    <row r="68" spans="1:16" ht="16.5" customHeight="1">
      <c r="A68" s="113"/>
      <c r="B68" s="114" t="e">
        <f>+'INV-PO04774'!#REF!</f>
        <v>#REF!</v>
      </c>
      <c r="C68" s="115" t="e">
        <f>+'INV-PO04774'!#REF!</f>
        <v>#REF!</v>
      </c>
      <c r="D68" s="225" t="e">
        <f>+#REF!</f>
        <v>#REF!</v>
      </c>
      <c r="E68" s="116" t="e">
        <f>+'INV-PO04774'!#REF!</f>
        <v>#REF!</v>
      </c>
      <c r="F68" s="117" t="e">
        <f>+'INV-PO04774'!#REF!</f>
        <v>#REF!</v>
      </c>
      <c r="G68" s="117" t="e">
        <f>+'INV-PO04774'!#REF!</f>
        <v>#REF!</v>
      </c>
      <c r="H68" s="655" t="e">
        <f>+'INV-PO04774'!#REF!</f>
        <v>#REF!</v>
      </c>
      <c r="I68" s="655"/>
      <c r="J68" s="656"/>
      <c r="K68" s="118" t="e">
        <f>+'INV-PO04774'!#REF!</f>
        <v>#REF!</v>
      </c>
      <c r="L68" s="119" t="s">
        <v>86</v>
      </c>
      <c r="M68" s="120" t="s">
        <v>126</v>
      </c>
      <c r="N68" s="121" t="e">
        <f>+'INV-PO04774'!#REF!</f>
        <v>#REF!</v>
      </c>
      <c r="O68" s="122" t="s">
        <v>126</v>
      </c>
      <c r="P68" s="123" t="e">
        <f t="shared" si="1"/>
        <v>#REF!</v>
      </c>
    </row>
    <row r="69" spans="1:16" ht="16.5" customHeight="1">
      <c r="A69" s="113"/>
      <c r="B69" s="114" t="e">
        <f>+'INV-PO04774'!#REF!</f>
        <v>#REF!</v>
      </c>
      <c r="C69" s="115" t="e">
        <f>+'INV-PO04774'!#REF!</f>
        <v>#REF!</v>
      </c>
      <c r="D69" s="225" t="e">
        <f>+#REF!</f>
        <v>#REF!</v>
      </c>
      <c r="E69" s="116" t="e">
        <f>+'INV-PO04774'!#REF!</f>
        <v>#REF!</v>
      </c>
      <c r="F69" s="117" t="e">
        <f>+'INV-PO04774'!#REF!</f>
        <v>#REF!</v>
      </c>
      <c r="G69" s="117" t="e">
        <f>+'INV-PO04774'!#REF!</f>
        <v>#REF!</v>
      </c>
      <c r="H69" s="655" t="e">
        <f>+'INV-PO04774'!#REF!</f>
        <v>#REF!</v>
      </c>
      <c r="I69" s="655"/>
      <c r="J69" s="656"/>
      <c r="K69" s="118" t="e">
        <f>+'INV-PO04774'!#REF!</f>
        <v>#REF!</v>
      </c>
      <c r="L69" s="119" t="s">
        <v>86</v>
      </c>
      <c r="M69" s="120" t="s">
        <v>126</v>
      </c>
      <c r="N69" s="121" t="e">
        <f>+'INV-PO04774'!#REF!</f>
        <v>#REF!</v>
      </c>
      <c r="O69" s="122" t="s">
        <v>126</v>
      </c>
      <c r="P69" s="123" t="e">
        <f t="shared" si="1"/>
        <v>#REF!</v>
      </c>
    </row>
    <row r="70" spans="1:16" ht="16.5" customHeight="1">
      <c r="A70" s="113"/>
      <c r="B70" s="114" t="e">
        <f>+'INV-PO04774'!#REF!</f>
        <v>#REF!</v>
      </c>
      <c r="C70" s="115" t="e">
        <f>+'INV-PO04774'!#REF!</f>
        <v>#REF!</v>
      </c>
      <c r="D70" s="225" t="e">
        <f>+#REF!</f>
        <v>#REF!</v>
      </c>
      <c r="E70" s="116" t="e">
        <f>+'INV-PO04774'!#REF!</f>
        <v>#REF!</v>
      </c>
      <c r="F70" s="117" t="e">
        <f>+'INV-PO04774'!#REF!</f>
        <v>#REF!</v>
      </c>
      <c r="G70" s="117" t="e">
        <f>+'INV-PO04774'!#REF!</f>
        <v>#REF!</v>
      </c>
      <c r="H70" s="655" t="e">
        <f>+'INV-PO04774'!#REF!</f>
        <v>#REF!</v>
      </c>
      <c r="I70" s="655"/>
      <c r="J70" s="656"/>
      <c r="K70" s="118" t="e">
        <f>+'INV-PO04774'!#REF!</f>
        <v>#REF!</v>
      </c>
      <c r="L70" s="119" t="s">
        <v>86</v>
      </c>
      <c r="M70" s="120" t="s">
        <v>126</v>
      </c>
      <c r="N70" s="121" t="e">
        <f>+'INV-PO04774'!#REF!</f>
        <v>#REF!</v>
      </c>
      <c r="O70" s="122" t="s">
        <v>126</v>
      </c>
      <c r="P70" s="123" t="e">
        <f t="shared" si="1"/>
        <v>#REF!</v>
      </c>
    </row>
    <row r="71" spans="1:16" ht="16.5" customHeight="1">
      <c r="A71" s="113"/>
      <c r="B71" s="114" t="e">
        <f>+'INV-PO04774'!#REF!</f>
        <v>#REF!</v>
      </c>
      <c r="C71" s="115" t="e">
        <f>+'INV-PO04774'!#REF!</f>
        <v>#REF!</v>
      </c>
      <c r="D71" s="225" t="e">
        <f>+#REF!</f>
        <v>#REF!</v>
      </c>
      <c r="E71" s="116" t="e">
        <f>+'INV-PO04774'!#REF!</f>
        <v>#REF!</v>
      </c>
      <c r="F71" s="117" t="e">
        <f>+'INV-PO04774'!#REF!</f>
        <v>#REF!</v>
      </c>
      <c r="G71" s="117" t="e">
        <f>+'INV-PO04774'!#REF!</f>
        <v>#REF!</v>
      </c>
      <c r="H71" s="655" t="e">
        <f>+'INV-PO04774'!#REF!</f>
        <v>#REF!</v>
      </c>
      <c r="I71" s="655"/>
      <c r="J71" s="656"/>
      <c r="K71" s="118" t="e">
        <f>+'INV-PO04774'!#REF!</f>
        <v>#REF!</v>
      </c>
      <c r="L71" s="119" t="s">
        <v>86</v>
      </c>
      <c r="M71" s="120" t="s">
        <v>126</v>
      </c>
      <c r="N71" s="121" t="e">
        <f>+'INV-PO04774'!#REF!</f>
        <v>#REF!</v>
      </c>
      <c r="O71" s="122" t="s">
        <v>126</v>
      </c>
      <c r="P71" s="123" t="e">
        <f t="shared" si="1"/>
        <v>#REF!</v>
      </c>
    </row>
    <row r="72" spans="1:16" ht="16.5" customHeight="1">
      <c r="A72" s="113"/>
      <c r="B72" s="114" t="e">
        <f>+'INV-PO04774'!#REF!</f>
        <v>#REF!</v>
      </c>
      <c r="C72" s="115" t="e">
        <f>+'INV-PO04774'!#REF!</f>
        <v>#REF!</v>
      </c>
      <c r="D72" s="225" t="e">
        <f>+#REF!</f>
        <v>#REF!</v>
      </c>
      <c r="E72" s="116" t="e">
        <f>+'INV-PO04774'!#REF!</f>
        <v>#REF!</v>
      </c>
      <c r="F72" s="117" t="e">
        <f>+'INV-PO04774'!#REF!</f>
        <v>#REF!</v>
      </c>
      <c r="G72" s="117" t="e">
        <f>+'INV-PO04774'!#REF!</f>
        <v>#REF!</v>
      </c>
      <c r="H72" s="655" t="e">
        <f>+'INV-PO04774'!#REF!</f>
        <v>#REF!</v>
      </c>
      <c r="I72" s="655"/>
      <c r="J72" s="656"/>
      <c r="K72" s="118" t="e">
        <f>+'INV-PO04774'!#REF!</f>
        <v>#REF!</v>
      </c>
      <c r="L72" s="119" t="s">
        <v>86</v>
      </c>
      <c r="M72" s="120" t="s">
        <v>126</v>
      </c>
      <c r="N72" s="121" t="e">
        <f>+'INV-PO04774'!#REF!</f>
        <v>#REF!</v>
      </c>
      <c r="O72" s="122" t="s">
        <v>126</v>
      </c>
      <c r="P72" s="123" t="e">
        <f t="shared" ref="P72:P82" si="2">N72*K72</f>
        <v>#REF!</v>
      </c>
    </row>
    <row r="73" spans="1:16" ht="16.5" customHeight="1">
      <c r="A73" s="113"/>
      <c r="B73" s="114" t="e">
        <f>+'INV-PO04774'!#REF!</f>
        <v>#REF!</v>
      </c>
      <c r="C73" s="115" t="e">
        <f>+'INV-PO04774'!#REF!</f>
        <v>#REF!</v>
      </c>
      <c r="D73" s="225" t="e">
        <f>+#REF!</f>
        <v>#REF!</v>
      </c>
      <c r="E73" s="116" t="e">
        <f>+'INV-PO04774'!#REF!</f>
        <v>#REF!</v>
      </c>
      <c r="F73" s="117" t="e">
        <f>+'INV-PO04774'!#REF!</f>
        <v>#REF!</v>
      </c>
      <c r="G73" s="117" t="e">
        <f>+'INV-PO04774'!#REF!</f>
        <v>#REF!</v>
      </c>
      <c r="H73" s="655" t="e">
        <f>+'INV-PO04774'!#REF!</f>
        <v>#REF!</v>
      </c>
      <c r="I73" s="655"/>
      <c r="J73" s="656"/>
      <c r="K73" s="118" t="e">
        <f>+'INV-PO04774'!#REF!</f>
        <v>#REF!</v>
      </c>
      <c r="L73" s="119" t="s">
        <v>86</v>
      </c>
      <c r="M73" s="120" t="s">
        <v>126</v>
      </c>
      <c r="N73" s="121" t="e">
        <f>+'INV-PO04774'!#REF!</f>
        <v>#REF!</v>
      </c>
      <c r="O73" s="122" t="s">
        <v>126</v>
      </c>
      <c r="P73" s="123" t="e">
        <f t="shared" si="2"/>
        <v>#REF!</v>
      </c>
    </row>
    <row r="74" spans="1:16" ht="16.5" customHeight="1">
      <c r="A74" s="113"/>
      <c r="B74" s="114" t="e">
        <f>+'INV-PO04774'!#REF!</f>
        <v>#REF!</v>
      </c>
      <c r="C74" s="115" t="e">
        <f>+'INV-PO04774'!#REF!</f>
        <v>#REF!</v>
      </c>
      <c r="D74" s="225" t="e">
        <f>+#REF!</f>
        <v>#REF!</v>
      </c>
      <c r="E74" s="116" t="e">
        <f>+'INV-PO04774'!#REF!</f>
        <v>#REF!</v>
      </c>
      <c r="F74" s="117" t="e">
        <f>+'INV-PO04774'!#REF!</f>
        <v>#REF!</v>
      </c>
      <c r="G74" s="117" t="e">
        <f>+'INV-PO04774'!#REF!</f>
        <v>#REF!</v>
      </c>
      <c r="H74" s="655" t="e">
        <f>+'INV-PO04774'!#REF!</f>
        <v>#REF!</v>
      </c>
      <c r="I74" s="655"/>
      <c r="J74" s="656"/>
      <c r="K74" s="118" t="e">
        <f>+'INV-PO04774'!#REF!</f>
        <v>#REF!</v>
      </c>
      <c r="L74" s="119" t="s">
        <v>86</v>
      </c>
      <c r="M74" s="120" t="s">
        <v>126</v>
      </c>
      <c r="N74" s="121" t="e">
        <f>+'INV-PO04774'!#REF!</f>
        <v>#REF!</v>
      </c>
      <c r="O74" s="122" t="s">
        <v>126</v>
      </c>
      <c r="P74" s="123" t="e">
        <f t="shared" si="2"/>
        <v>#REF!</v>
      </c>
    </row>
    <row r="75" spans="1:16" ht="16.5" customHeight="1">
      <c r="A75" s="113"/>
      <c r="B75" s="114" t="e">
        <f>+'INV-PO04774'!#REF!</f>
        <v>#REF!</v>
      </c>
      <c r="C75" s="115" t="e">
        <f>+'INV-PO04774'!#REF!</f>
        <v>#REF!</v>
      </c>
      <c r="D75" s="225" t="e">
        <f>+#REF!</f>
        <v>#REF!</v>
      </c>
      <c r="E75" s="116" t="e">
        <f>+'INV-PO04774'!#REF!</f>
        <v>#REF!</v>
      </c>
      <c r="F75" s="117" t="e">
        <f>+'INV-PO04774'!#REF!</f>
        <v>#REF!</v>
      </c>
      <c r="G75" s="117" t="e">
        <f>+'INV-PO04774'!#REF!</f>
        <v>#REF!</v>
      </c>
      <c r="H75" s="655" t="e">
        <f>+'INV-PO04774'!#REF!</f>
        <v>#REF!</v>
      </c>
      <c r="I75" s="655"/>
      <c r="J75" s="656"/>
      <c r="K75" s="118" t="e">
        <f>+'INV-PO04774'!#REF!</f>
        <v>#REF!</v>
      </c>
      <c r="L75" s="119" t="s">
        <v>86</v>
      </c>
      <c r="M75" s="120" t="s">
        <v>126</v>
      </c>
      <c r="N75" s="121" t="e">
        <f>+'INV-PO04774'!#REF!</f>
        <v>#REF!</v>
      </c>
      <c r="O75" s="122" t="s">
        <v>126</v>
      </c>
      <c r="P75" s="123" t="e">
        <f t="shared" si="2"/>
        <v>#REF!</v>
      </c>
    </row>
    <row r="76" spans="1:16" ht="16.5" customHeight="1">
      <c r="A76" s="113"/>
      <c r="B76" s="114" t="e">
        <f>+'INV-PO04774'!#REF!</f>
        <v>#REF!</v>
      </c>
      <c r="C76" s="115" t="e">
        <f>+'INV-PO04774'!#REF!</f>
        <v>#REF!</v>
      </c>
      <c r="D76" s="225" t="e">
        <f>+#REF!</f>
        <v>#REF!</v>
      </c>
      <c r="E76" s="116" t="e">
        <f>+'INV-PO04774'!#REF!</f>
        <v>#REF!</v>
      </c>
      <c r="F76" s="117" t="e">
        <f>+'INV-PO04774'!#REF!</f>
        <v>#REF!</v>
      </c>
      <c r="G76" s="117" t="e">
        <f>+'INV-PO04774'!#REF!</f>
        <v>#REF!</v>
      </c>
      <c r="H76" s="655" t="e">
        <f>+'INV-PO04774'!#REF!</f>
        <v>#REF!</v>
      </c>
      <c r="I76" s="655"/>
      <c r="J76" s="656"/>
      <c r="K76" s="118" t="e">
        <f>+'INV-PO04774'!#REF!</f>
        <v>#REF!</v>
      </c>
      <c r="L76" s="119" t="s">
        <v>86</v>
      </c>
      <c r="M76" s="120" t="s">
        <v>126</v>
      </c>
      <c r="N76" s="121" t="e">
        <f>+'INV-PO04774'!#REF!</f>
        <v>#REF!</v>
      </c>
      <c r="O76" s="122" t="s">
        <v>126</v>
      </c>
      <c r="P76" s="123" t="e">
        <f t="shared" si="2"/>
        <v>#REF!</v>
      </c>
    </row>
    <row r="77" spans="1:16" ht="16.5" customHeight="1">
      <c r="A77" s="113"/>
      <c r="B77" s="114" t="e">
        <f>+'INV-PO04774'!#REF!</f>
        <v>#REF!</v>
      </c>
      <c r="C77" s="115" t="e">
        <f>+'INV-PO04774'!#REF!</f>
        <v>#REF!</v>
      </c>
      <c r="D77" s="225" t="e">
        <f>+#REF!</f>
        <v>#REF!</v>
      </c>
      <c r="E77" s="116" t="e">
        <f>+'INV-PO04774'!#REF!</f>
        <v>#REF!</v>
      </c>
      <c r="F77" s="117" t="e">
        <f>+'INV-PO04774'!#REF!</f>
        <v>#REF!</v>
      </c>
      <c r="G77" s="117" t="e">
        <f>+'INV-PO04774'!#REF!</f>
        <v>#REF!</v>
      </c>
      <c r="H77" s="655" t="e">
        <f>+'INV-PO04774'!#REF!</f>
        <v>#REF!</v>
      </c>
      <c r="I77" s="655"/>
      <c r="J77" s="656"/>
      <c r="K77" s="118" t="e">
        <f>+'INV-PO04774'!#REF!</f>
        <v>#REF!</v>
      </c>
      <c r="L77" s="119" t="s">
        <v>86</v>
      </c>
      <c r="M77" s="120" t="s">
        <v>126</v>
      </c>
      <c r="N77" s="121" t="e">
        <f>+'INV-PO04774'!#REF!</f>
        <v>#REF!</v>
      </c>
      <c r="O77" s="122" t="s">
        <v>126</v>
      </c>
      <c r="P77" s="123" t="e">
        <f t="shared" si="2"/>
        <v>#REF!</v>
      </c>
    </row>
    <row r="78" spans="1:16" ht="16.5" customHeight="1">
      <c r="A78" s="113"/>
      <c r="B78" s="114" t="e">
        <f>+'INV-PO04774'!#REF!</f>
        <v>#REF!</v>
      </c>
      <c r="C78" s="115" t="e">
        <f>+'INV-PO04774'!#REF!</f>
        <v>#REF!</v>
      </c>
      <c r="D78" s="225" t="e">
        <f>+#REF!</f>
        <v>#REF!</v>
      </c>
      <c r="E78" s="116" t="e">
        <f>+'INV-PO04774'!#REF!</f>
        <v>#REF!</v>
      </c>
      <c r="F78" s="117" t="e">
        <f>+'INV-PO04774'!#REF!</f>
        <v>#REF!</v>
      </c>
      <c r="G78" s="117" t="e">
        <f>+'INV-PO04774'!#REF!</f>
        <v>#REF!</v>
      </c>
      <c r="H78" s="655" t="e">
        <f>+'INV-PO04774'!#REF!</f>
        <v>#REF!</v>
      </c>
      <c r="I78" s="655"/>
      <c r="J78" s="656"/>
      <c r="K78" s="118" t="e">
        <f>+'INV-PO04774'!#REF!</f>
        <v>#REF!</v>
      </c>
      <c r="L78" s="119" t="s">
        <v>86</v>
      </c>
      <c r="M78" s="120" t="s">
        <v>126</v>
      </c>
      <c r="N78" s="121" t="e">
        <f>+'INV-PO04774'!#REF!</f>
        <v>#REF!</v>
      </c>
      <c r="O78" s="122" t="s">
        <v>126</v>
      </c>
      <c r="P78" s="123" t="e">
        <f t="shared" si="2"/>
        <v>#REF!</v>
      </c>
    </row>
    <row r="79" spans="1:16" ht="16.5" customHeight="1">
      <c r="A79" s="113"/>
      <c r="B79" s="114" t="e">
        <f>+'INV-PO04774'!#REF!</f>
        <v>#REF!</v>
      </c>
      <c r="C79" s="115" t="e">
        <f>+'INV-PO04774'!#REF!</f>
        <v>#REF!</v>
      </c>
      <c r="D79" s="225" t="e">
        <f>+#REF!</f>
        <v>#REF!</v>
      </c>
      <c r="E79" s="116" t="e">
        <f>+'INV-PO04774'!#REF!</f>
        <v>#REF!</v>
      </c>
      <c r="F79" s="117" t="e">
        <f>+'INV-PO04774'!#REF!</f>
        <v>#REF!</v>
      </c>
      <c r="G79" s="117" t="e">
        <f>+'INV-PO04774'!#REF!</f>
        <v>#REF!</v>
      </c>
      <c r="H79" s="655" t="e">
        <f>+'INV-PO04774'!#REF!</f>
        <v>#REF!</v>
      </c>
      <c r="I79" s="655"/>
      <c r="J79" s="656"/>
      <c r="K79" s="118" t="e">
        <f>+'INV-PO04774'!#REF!</f>
        <v>#REF!</v>
      </c>
      <c r="L79" s="119" t="s">
        <v>86</v>
      </c>
      <c r="M79" s="120" t="s">
        <v>126</v>
      </c>
      <c r="N79" s="121" t="e">
        <f>+'INV-PO04774'!#REF!</f>
        <v>#REF!</v>
      </c>
      <c r="O79" s="122" t="s">
        <v>126</v>
      </c>
      <c r="P79" s="123" t="e">
        <f t="shared" si="2"/>
        <v>#REF!</v>
      </c>
    </row>
    <row r="80" spans="1:16" ht="16.5" customHeight="1">
      <c r="A80" s="113"/>
      <c r="B80" s="114" t="e">
        <f>+'INV-PO04774'!#REF!</f>
        <v>#REF!</v>
      </c>
      <c r="C80" s="115" t="e">
        <f>+'INV-PO04774'!#REF!</f>
        <v>#REF!</v>
      </c>
      <c r="D80" s="225" t="e">
        <f>+#REF!</f>
        <v>#REF!</v>
      </c>
      <c r="E80" s="116" t="e">
        <f>+'INV-PO04774'!#REF!</f>
        <v>#REF!</v>
      </c>
      <c r="F80" s="117" t="e">
        <f>+'INV-PO04774'!#REF!</f>
        <v>#REF!</v>
      </c>
      <c r="G80" s="117" t="e">
        <f>+'INV-PO04774'!#REF!</f>
        <v>#REF!</v>
      </c>
      <c r="H80" s="655" t="e">
        <f>+'INV-PO04774'!#REF!</f>
        <v>#REF!</v>
      </c>
      <c r="I80" s="655"/>
      <c r="J80" s="656"/>
      <c r="K80" s="118" t="e">
        <f>+'INV-PO04774'!#REF!</f>
        <v>#REF!</v>
      </c>
      <c r="L80" s="119" t="s">
        <v>86</v>
      </c>
      <c r="M80" s="120" t="s">
        <v>126</v>
      </c>
      <c r="N80" s="121" t="e">
        <f>+'INV-PO04774'!#REF!</f>
        <v>#REF!</v>
      </c>
      <c r="O80" s="122" t="s">
        <v>126</v>
      </c>
      <c r="P80" s="123" t="e">
        <f t="shared" si="2"/>
        <v>#REF!</v>
      </c>
    </row>
    <row r="81" spans="1:16" ht="16.5" customHeight="1">
      <c r="A81" s="113"/>
      <c r="B81" s="114" t="e">
        <f>+'INV-PO04774'!#REF!</f>
        <v>#REF!</v>
      </c>
      <c r="C81" s="115" t="e">
        <f>+'INV-PO04774'!#REF!</f>
        <v>#REF!</v>
      </c>
      <c r="D81" s="225" t="e">
        <f>+#REF!</f>
        <v>#REF!</v>
      </c>
      <c r="E81" s="116" t="e">
        <f>+'INV-PO04774'!#REF!</f>
        <v>#REF!</v>
      </c>
      <c r="F81" s="117" t="e">
        <f>+'INV-PO04774'!#REF!</f>
        <v>#REF!</v>
      </c>
      <c r="G81" s="117" t="e">
        <f>+'INV-PO04774'!#REF!</f>
        <v>#REF!</v>
      </c>
      <c r="H81" s="655" t="e">
        <f>+'INV-PO04774'!#REF!</f>
        <v>#REF!</v>
      </c>
      <c r="I81" s="655"/>
      <c r="J81" s="656"/>
      <c r="K81" s="118" t="e">
        <f>+'INV-PO04774'!#REF!</f>
        <v>#REF!</v>
      </c>
      <c r="L81" s="119" t="s">
        <v>86</v>
      </c>
      <c r="M81" s="120" t="s">
        <v>126</v>
      </c>
      <c r="N81" s="121" t="e">
        <f>+'INV-PO04774'!#REF!</f>
        <v>#REF!</v>
      </c>
      <c r="O81" s="122" t="s">
        <v>126</v>
      </c>
      <c r="P81" s="123" t="e">
        <f t="shared" si="2"/>
        <v>#REF!</v>
      </c>
    </row>
    <row r="82" spans="1:16" ht="16.5" customHeight="1">
      <c r="A82" s="113"/>
      <c r="B82" s="114" t="e">
        <f>+'INV-PO04774'!#REF!</f>
        <v>#REF!</v>
      </c>
      <c r="C82" s="115" t="e">
        <f>+'INV-PO04774'!#REF!</f>
        <v>#REF!</v>
      </c>
      <c r="D82" s="225" t="e">
        <f>+#REF!</f>
        <v>#REF!</v>
      </c>
      <c r="E82" s="116" t="e">
        <f>+'INV-PO04774'!#REF!</f>
        <v>#REF!</v>
      </c>
      <c r="F82" s="117" t="e">
        <f>+'INV-PO04774'!#REF!</f>
        <v>#REF!</v>
      </c>
      <c r="G82" s="117" t="e">
        <f>+'INV-PO04774'!#REF!</f>
        <v>#REF!</v>
      </c>
      <c r="H82" s="655" t="e">
        <f>+'INV-PO04774'!#REF!</f>
        <v>#REF!</v>
      </c>
      <c r="I82" s="655"/>
      <c r="J82" s="656"/>
      <c r="K82" s="118" t="e">
        <f>+'INV-PO04774'!#REF!</f>
        <v>#REF!</v>
      </c>
      <c r="L82" s="119" t="s">
        <v>86</v>
      </c>
      <c r="M82" s="120" t="s">
        <v>126</v>
      </c>
      <c r="N82" s="121" t="e">
        <f>+'INV-PO04774'!#REF!</f>
        <v>#REF!</v>
      </c>
      <c r="O82" s="122" t="s">
        <v>126</v>
      </c>
      <c r="P82" s="123" t="e">
        <f t="shared" si="2"/>
        <v>#REF!</v>
      </c>
    </row>
    <row r="83" spans="1:16" ht="16.5" customHeight="1">
      <c r="A83" s="113"/>
      <c r="B83" s="114" t="e">
        <f>+'INV-PO04774'!#REF!</f>
        <v>#REF!</v>
      </c>
      <c r="C83" s="115" t="e">
        <f>+'INV-PO04774'!#REF!</f>
        <v>#REF!</v>
      </c>
      <c r="D83" s="225" t="e">
        <f>+#REF!</f>
        <v>#REF!</v>
      </c>
      <c r="E83" s="116" t="e">
        <f>+'INV-PO04774'!#REF!</f>
        <v>#REF!</v>
      </c>
      <c r="F83" s="117" t="e">
        <f>+'INV-PO04774'!#REF!</f>
        <v>#REF!</v>
      </c>
      <c r="G83" s="117" t="e">
        <f>+'INV-PO04774'!#REF!</f>
        <v>#REF!</v>
      </c>
      <c r="H83" s="655" t="e">
        <f>+'INV-PO04774'!#REF!</f>
        <v>#REF!</v>
      </c>
      <c r="I83" s="655"/>
      <c r="J83" s="656"/>
      <c r="K83" s="118" t="e">
        <f>+'INV-PO04774'!#REF!</f>
        <v>#REF!</v>
      </c>
      <c r="L83" s="119" t="s">
        <v>86</v>
      </c>
      <c r="M83" s="120" t="s">
        <v>126</v>
      </c>
      <c r="N83" s="121" t="e">
        <f>+'INV-PO04774'!#REF!</f>
        <v>#REF!</v>
      </c>
      <c r="O83" s="122" t="s">
        <v>126</v>
      </c>
      <c r="P83" s="123" t="e">
        <f t="shared" ref="P83:P85" si="3">N83*K83</f>
        <v>#REF!</v>
      </c>
    </row>
    <row r="84" spans="1:16" ht="16.5" customHeight="1">
      <c r="A84" s="113"/>
      <c r="B84" s="114" t="e">
        <f>+'INV-PO04774'!#REF!</f>
        <v>#REF!</v>
      </c>
      <c r="C84" s="115" t="e">
        <f>+'INV-PO04774'!#REF!</f>
        <v>#REF!</v>
      </c>
      <c r="D84" s="225" t="e">
        <f>+#REF!</f>
        <v>#REF!</v>
      </c>
      <c r="E84" s="116" t="e">
        <f>+'INV-PO04774'!#REF!</f>
        <v>#REF!</v>
      </c>
      <c r="F84" s="117" t="e">
        <f>+'INV-PO04774'!#REF!</f>
        <v>#REF!</v>
      </c>
      <c r="G84" s="117" t="e">
        <f>+'INV-PO04774'!#REF!</f>
        <v>#REF!</v>
      </c>
      <c r="H84" s="655" t="e">
        <f>+'INV-PO04774'!#REF!</f>
        <v>#REF!</v>
      </c>
      <c r="I84" s="655"/>
      <c r="J84" s="656"/>
      <c r="K84" s="118" t="e">
        <f>+'INV-PO04774'!#REF!</f>
        <v>#REF!</v>
      </c>
      <c r="L84" s="119" t="s">
        <v>86</v>
      </c>
      <c r="M84" s="120" t="s">
        <v>126</v>
      </c>
      <c r="N84" s="121" t="e">
        <f>+'INV-PO04774'!#REF!</f>
        <v>#REF!</v>
      </c>
      <c r="O84" s="122" t="s">
        <v>126</v>
      </c>
      <c r="P84" s="123" t="e">
        <f t="shared" si="3"/>
        <v>#REF!</v>
      </c>
    </row>
    <row r="85" spans="1:16" ht="16.5" customHeight="1">
      <c r="A85" s="113"/>
      <c r="B85" s="114" t="e">
        <f>+'INV-PO04774'!#REF!</f>
        <v>#REF!</v>
      </c>
      <c r="C85" s="115" t="e">
        <f>+'INV-PO04774'!#REF!</f>
        <v>#REF!</v>
      </c>
      <c r="D85" s="225" t="e">
        <f>+#REF!</f>
        <v>#REF!</v>
      </c>
      <c r="E85" s="116" t="e">
        <f>+'INV-PO04774'!#REF!</f>
        <v>#REF!</v>
      </c>
      <c r="F85" s="117" t="e">
        <f>+'INV-PO04774'!#REF!</f>
        <v>#REF!</v>
      </c>
      <c r="G85" s="117" t="e">
        <f>+'INV-PO04774'!#REF!</f>
        <v>#REF!</v>
      </c>
      <c r="H85" s="655" t="e">
        <f>+'INV-PO04774'!#REF!</f>
        <v>#REF!</v>
      </c>
      <c r="I85" s="655"/>
      <c r="J85" s="656"/>
      <c r="K85" s="118" t="e">
        <f>+'INV-PO04774'!#REF!</f>
        <v>#REF!</v>
      </c>
      <c r="L85" s="119" t="s">
        <v>86</v>
      </c>
      <c r="M85" s="120" t="s">
        <v>126</v>
      </c>
      <c r="N85" s="121" t="e">
        <f>+'INV-PO04774'!#REF!</f>
        <v>#REF!</v>
      </c>
      <c r="O85" s="122" t="s">
        <v>126</v>
      </c>
      <c r="P85" s="123" t="e">
        <f t="shared" si="3"/>
        <v>#REF!</v>
      </c>
    </row>
    <row r="86" spans="1:16" ht="16.5" customHeight="1">
      <c r="A86" s="113"/>
      <c r="B86" s="114" t="e">
        <f>+'INV-PO04774'!#REF!</f>
        <v>#REF!</v>
      </c>
      <c r="C86" s="115" t="e">
        <f>+'INV-PO04774'!#REF!</f>
        <v>#REF!</v>
      </c>
      <c r="D86" s="225" t="e">
        <f>+#REF!</f>
        <v>#REF!</v>
      </c>
      <c r="E86" s="116" t="e">
        <f>+'INV-PO04774'!#REF!</f>
        <v>#REF!</v>
      </c>
      <c r="F86" s="117" t="e">
        <f>+'INV-PO04774'!#REF!</f>
        <v>#REF!</v>
      </c>
      <c r="G86" s="117" t="e">
        <f>+'INV-PO04774'!#REF!</f>
        <v>#REF!</v>
      </c>
      <c r="H86" s="655" t="e">
        <f>+'INV-PO04774'!#REF!</f>
        <v>#REF!</v>
      </c>
      <c r="I86" s="655"/>
      <c r="J86" s="656"/>
      <c r="K86" s="118" t="e">
        <f>+'INV-PO04774'!#REF!</f>
        <v>#REF!</v>
      </c>
      <c r="L86" s="119" t="s">
        <v>86</v>
      </c>
      <c r="M86" s="120" t="s">
        <v>126</v>
      </c>
      <c r="N86" s="121" t="e">
        <f>+'INV-PO04774'!#REF!</f>
        <v>#REF!</v>
      </c>
      <c r="O86" s="122" t="s">
        <v>126</v>
      </c>
      <c r="P86" s="123" t="e">
        <f t="shared" ref="P86:P88" si="4">N86*K86</f>
        <v>#REF!</v>
      </c>
    </row>
    <row r="87" spans="1:16" ht="16.5" customHeight="1">
      <c r="A87" s="113"/>
      <c r="B87" s="114" t="e">
        <f>+'INV-PO04774'!#REF!</f>
        <v>#REF!</v>
      </c>
      <c r="C87" s="115" t="e">
        <f>+'INV-PO04774'!#REF!</f>
        <v>#REF!</v>
      </c>
      <c r="D87" s="225" t="e">
        <f>+#REF!</f>
        <v>#REF!</v>
      </c>
      <c r="E87" s="116" t="e">
        <f>+'INV-PO04774'!#REF!</f>
        <v>#REF!</v>
      </c>
      <c r="F87" s="117" t="e">
        <f>+'INV-PO04774'!#REF!</f>
        <v>#REF!</v>
      </c>
      <c r="G87" s="117" t="e">
        <f>+'INV-PO04774'!#REF!</f>
        <v>#REF!</v>
      </c>
      <c r="H87" s="655" t="e">
        <f>+'INV-PO04774'!#REF!</f>
        <v>#REF!</v>
      </c>
      <c r="I87" s="655"/>
      <c r="J87" s="656"/>
      <c r="K87" s="118" t="e">
        <f>+'INV-PO04774'!#REF!</f>
        <v>#REF!</v>
      </c>
      <c r="L87" s="119" t="s">
        <v>86</v>
      </c>
      <c r="M87" s="120" t="s">
        <v>126</v>
      </c>
      <c r="N87" s="121" t="e">
        <f>+'INV-PO04774'!#REF!</f>
        <v>#REF!</v>
      </c>
      <c r="O87" s="122" t="s">
        <v>126</v>
      </c>
      <c r="P87" s="123" t="e">
        <f t="shared" si="4"/>
        <v>#REF!</v>
      </c>
    </row>
    <row r="88" spans="1:16" ht="16.5" customHeight="1">
      <c r="A88" s="113"/>
      <c r="B88" s="114" t="e">
        <f>+'INV-PO04774'!#REF!</f>
        <v>#REF!</v>
      </c>
      <c r="C88" s="115" t="e">
        <f>+'INV-PO04774'!#REF!</f>
        <v>#REF!</v>
      </c>
      <c r="D88" s="225" t="e">
        <f>+#REF!</f>
        <v>#REF!</v>
      </c>
      <c r="E88" s="116" t="e">
        <f>+'INV-PO04774'!#REF!</f>
        <v>#REF!</v>
      </c>
      <c r="F88" s="117" t="e">
        <f>+'INV-PO04774'!#REF!</f>
        <v>#REF!</v>
      </c>
      <c r="G88" s="117" t="e">
        <f>+'INV-PO04774'!#REF!</f>
        <v>#REF!</v>
      </c>
      <c r="H88" s="655" t="e">
        <f>+'INV-PO04774'!#REF!</f>
        <v>#REF!</v>
      </c>
      <c r="I88" s="655"/>
      <c r="J88" s="656"/>
      <c r="K88" s="118" t="e">
        <f>+'INV-PO04774'!#REF!</f>
        <v>#REF!</v>
      </c>
      <c r="L88" s="119" t="s">
        <v>86</v>
      </c>
      <c r="M88" s="120" t="s">
        <v>126</v>
      </c>
      <c r="N88" s="121" t="e">
        <f>+'INV-PO04774'!#REF!</f>
        <v>#REF!</v>
      </c>
      <c r="O88" s="122" t="s">
        <v>126</v>
      </c>
      <c r="P88" s="123" t="e">
        <f t="shared" si="4"/>
        <v>#REF!</v>
      </c>
    </row>
    <row r="89" spans="1:16" ht="16.5" customHeight="1">
      <c r="A89" s="127"/>
      <c r="B89" s="128" t="s">
        <v>49</v>
      </c>
      <c r="C89" s="63"/>
      <c r="D89" s="225"/>
      <c r="E89" s="63"/>
      <c r="F89" s="63"/>
      <c r="G89" s="63"/>
      <c r="H89" s="63"/>
      <c r="I89" s="63"/>
      <c r="J89" s="64"/>
      <c r="K89" s="129"/>
      <c r="L89" s="130"/>
      <c r="M89" s="50"/>
      <c r="N89" s="131"/>
      <c r="O89" s="125"/>
      <c r="P89" s="126"/>
    </row>
    <row r="90" spans="1:16" ht="16.5" customHeight="1">
      <c r="A90" s="127"/>
      <c r="B90" s="132" t="s">
        <v>149</v>
      </c>
      <c r="C90" s="63"/>
      <c r="D90" s="63"/>
      <c r="E90" s="63"/>
      <c r="F90" s="63"/>
      <c r="G90" s="63"/>
      <c r="H90" s="63"/>
      <c r="I90" s="63"/>
      <c r="J90" s="64"/>
      <c r="K90" s="124"/>
      <c r="L90" s="130"/>
      <c r="M90" s="50"/>
      <c r="N90" s="131"/>
      <c r="O90" s="125"/>
      <c r="P90" s="126"/>
    </row>
    <row r="91" spans="1:16" ht="16.5" customHeight="1">
      <c r="A91" s="127"/>
      <c r="B91" s="132" t="s">
        <v>150</v>
      </c>
      <c r="C91" s="63"/>
      <c r="D91" s="64"/>
      <c r="E91" s="63"/>
      <c r="F91" s="63"/>
      <c r="G91" s="63"/>
      <c r="H91" s="63"/>
      <c r="I91" s="63"/>
      <c r="J91" s="64"/>
      <c r="K91" s="133"/>
      <c r="L91" s="130"/>
      <c r="M91" s="50"/>
      <c r="N91" s="131"/>
      <c r="O91" s="125"/>
      <c r="P91" s="126"/>
    </row>
    <row r="92" spans="1:16" ht="16.5" customHeight="1">
      <c r="A92" s="127"/>
      <c r="B92" s="132" t="s">
        <v>151</v>
      </c>
      <c r="C92" s="63"/>
      <c r="D92" s="63"/>
      <c r="E92" s="63"/>
      <c r="F92" s="63"/>
      <c r="G92" s="63"/>
      <c r="H92" s="63"/>
      <c r="I92" s="63"/>
      <c r="J92" s="64"/>
      <c r="K92" s="130"/>
      <c r="L92" s="130"/>
      <c r="M92" s="50"/>
      <c r="N92" s="131"/>
      <c r="O92" s="125"/>
      <c r="P92" s="134"/>
    </row>
    <row r="93" spans="1:16" ht="16.5" customHeight="1">
      <c r="A93" s="127"/>
      <c r="B93" s="132" t="s">
        <v>152</v>
      </c>
      <c r="C93" s="63"/>
      <c r="D93" s="63"/>
      <c r="E93" s="63"/>
      <c r="F93" s="63"/>
      <c r="G93" s="63"/>
      <c r="H93" s="63"/>
      <c r="I93" s="63"/>
      <c r="J93" s="64"/>
      <c r="K93" s="130"/>
      <c r="L93" s="130"/>
      <c r="M93" s="50"/>
      <c r="N93" s="131"/>
      <c r="O93" s="125"/>
      <c r="P93" s="134"/>
    </row>
    <row r="94" spans="1:16" ht="16.5" customHeight="1">
      <c r="A94" s="127"/>
      <c r="B94" s="132"/>
      <c r="C94" s="63"/>
      <c r="D94" s="63"/>
      <c r="E94" s="63"/>
      <c r="F94" s="63"/>
      <c r="G94" s="63"/>
      <c r="H94" s="63"/>
      <c r="I94" s="63"/>
      <c r="J94" s="63"/>
      <c r="K94" s="179"/>
      <c r="L94" s="130"/>
      <c r="M94" s="50"/>
      <c r="N94" s="131"/>
      <c r="O94" s="181"/>
      <c r="P94" s="182"/>
    </row>
    <row r="95" spans="1:16" ht="16.5" customHeight="1">
      <c r="A95" s="135"/>
      <c r="B95" s="180"/>
      <c r="C95" s="63"/>
      <c r="D95" s="63"/>
      <c r="E95" s="63"/>
      <c r="F95" s="63"/>
      <c r="G95" s="63"/>
      <c r="H95" s="63"/>
      <c r="I95" s="63"/>
      <c r="J95" s="51"/>
      <c r="K95" s="136" t="e">
        <f>SUM(K33:K93)</f>
        <v>#REF!</v>
      </c>
      <c r="L95" s="137" t="s">
        <v>86</v>
      </c>
      <c r="M95" s="50"/>
      <c r="N95" s="138"/>
      <c r="O95" s="183" t="s">
        <v>126</v>
      </c>
      <c r="P95" s="184" t="e">
        <f>SUM(P33:P94)</f>
        <v>#REF!</v>
      </c>
    </row>
    <row r="96" spans="1:16" ht="25.5" customHeight="1">
      <c r="A96" s="139" t="s">
        <v>153</v>
      </c>
      <c r="B96" s="71"/>
      <c r="C96" s="71"/>
      <c r="D96" s="72"/>
      <c r="E96" s="71"/>
      <c r="F96" s="71"/>
      <c r="G96" s="71"/>
      <c r="H96" s="71"/>
      <c r="I96" s="71"/>
      <c r="J96" s="49"/>
      <c r="K96" s="140" t="s">
        <v>154</v>
      </c>
      <c r="L96" s="141"/>
      <c r="M96" s="141"/>
      <c r="N96" s="142"/>
      <c r="O96" s="143" t="s">
        <v>155</v>
      </c>
      <c r="P96" s="144"/>
    </row>
    <row r="97" spans="1:16" ht="25.5" customHeight="1">
      <c r="A97" s="70" t="s">
        <v>156</v>
      </c>
      <c r="D97" s="61"/>
      <c r="J97" s="74"/>
      <c r="K97" s="93" t="s">
        <v>157</v>
      </c>
      <c r="L97" s="145"/>
      <c r="M97" s="93" t="s">
        <v>158</v>
      </c>
      <c r="N97" s="146"/>
      <c r="O97" s="147" t="s">
        <v>159</v>
      </c>
      <c r="P97" s="148"/>
    </row>
    <row r="98" spans="1:16" ht="25.5" customHeight="1">
      <c r="A98" s="70" t="s">
        <v>160</v>
      </c>
      <c r="J98" s="74"/>
      <c r="K98" s="149">
        <f>+[16]DPL!B107</f>
        <v>398.86200000000008</v>
      </c>
      <c r="L98" s="150" t="s">
        <v>91</v>
      </c>
      <c r="M98" s="151">
        <f>+[16]DPL!B106</f>
        <v>462.16199999999998</v>
      </c>
      <c r="N98" s="152" t="s">
        <v>91</v>
      </c>
      <c r="O98" s="185" t="s">
        <v>126</v>
      </c>
      <c r="P98" s="186" t="e">
        <f>P95</f>
        <v>#REF!</v>
      </c>
    </row>
    <row r="99" spans="1:16" ht="25.5" customHeight="1">
      <c r="A99" s="70" t="s">
        <v>161</v>
      </c>
      <c r="E99" s="63"/>
      <c r="F99" s="63"/>
      <c r="G99" s="63"/>
      <c r="H99" s="63"/>
      <c r="I99" s="63"/>
      <c r="J99" s="153"/>
      <c r="K99" s="52"/>
      <c r="L99" s="53"/>
      <c r="M99" s="52"/>
      <c r="N99" s="53"/>
      <c r="O99" s="132"/>
      <c r="P99" s="64"/>
    </row>
    <row r="100" spans="1:16" ht="12" customHeight="1">
      <c r="A100" s="154"/>
      <c r="B100" s="81"/>
      <c r="C100" s="81"/>
      <c r="D100" s="81"/>
      <c r="E100" s="81"/>
      <c r="F100" s="155"/>
      <c r="G100" s="155"/>
      <c r="H100" s="155"/>
      <c r="I100" s="155"/>
      <c r="J100" s="156"/>
      <c r="K100" s="80"/>
      <c r="L100" s="79"/>
      <c r="M100" s="80"/>
      <c r="N100" s="79"/>
      <c r="O100" s="80"/>
      <c r="P100" s="82"/>
    </row>
    <row r="101" spans="1:16" ht="17.25" customHeight="1">
      <c r="A101" s="139" t="s">
        <v>162</v>
      </c>
      <c r="B101" s="71"/>
      <c r="C101" s="71"/>
      <c r="D101" s="71"/>
      <c r="E101" s="71"/>
      <c r="F101" s="48" t="s">
        <v>163</v>
      </c>
      <c r="G101" s="71"/>
      <c r="H101" s="71"/>
      <c r="I101" s="71"/>
      <c r="J101" s="71"/>
      <c r="K101" s="71"/>
      <c r="L101" s="71"/>
      <c r="M101" s="71"/>
      <c r="N101" s="71"/>
      <c r="O101" s="71"/>
      <c r="P101" s="72"/>
    </row>
    <row r="102" spans="1:16" ht="16.5" customHeight="1">
      <c r="A102" s="70" t="s">
        <v>164</v>
      </c>
      <c r="F102" s="132"/>
      <c r="G102" s="63"/>
      <c r="H102" s="63"/>
      <c r="I102" s="63"/>
      <c r="J102" s="63"/>
      <c r="K102" s="63"/>
      <c r="L102" s="63"/>
      <c r="M102" s="63"/>
      <c r="N102" s="63"/>
      <c r="O102" s="63"/>
      <c r="P102" s="64"/>
    </row>
    <row r="103" spans="1:16">
      <c r="A103" s="157" t="str">
        <f>+'INV-PO04774'!A8</f>
        <v>PT. MASTERINDO JAYA ABADI</v>
      </c>
      <c r="F103" s="132"/>
      <c r="G103" s="63"/>
      <c r="H103" s="63"/>
      <c r="I103" s="63"/>
      <c r="J103" s="63"/>
      <c r="K103" s="63"/>
      <c r="L103" s="63"/>
      <c r="M103" s="63"/>
      <c r="N103" s="63"/>
      <c r="O103" s="63"/>
      <c r="P103" s="64"/>
    </row>
    <row r="104" spans="1:16">
      <c r="A104" s="70" t="str">
        <f>+'INV-PO04774'!A9</f>
        <v>JL. SOEKARNO HATTA NO. 24</v>
      </c>
      <c r="B104" s="63"/>
      <c r="C104" s="63"/>
      <c r="D104" s="63"/>
      <c r="E104" s="63"/>
      <c r="F104" s="132"/>
      <c r="G104" s="63"/>
      <c r="H104" s="63"/>
      <c r="I104" s="63"/>
      <c r="J104" s="63"/>
      <c r="K104" s="63"/>
      <c r="L104" s="63"/>
      <c r="M104" s="63"/>
      <c r="N104" s="63"/>
      <c r="O104" s="63"/>
      <c r="P104" s="64"/>
    </row>
    <row r="105" spans="1:16">
      <c r="A105" s="70" t="str">
        <f>+'INV-PO04774'!A10</f>
        <v>BANDUNG 40212, INDONESIA 50512</v>
      </c>
      <c r="B105" s="63"/>
      <c r="C105" s="63"/>
      <c r="D105" s="63"/>
      <c r="E105" s="63"/>
      <c r="F105" s="132"/>
      <c r="G105" s="63"/>
      <c r="H105" s="63"/>
      <c r="I105" s="63"/>
      <c r="J105" s="63"/>
      <c r="K105" s="63"/>
      <c r="L105" s="63"/>
      <c r="M105" s="63"/>
      <c r="N105" s="63"/>
      <c r="O105" s="63"/>
      <c r="P105" s="64"/>
    </row>
    <row r="106" spans="1:16">
      <c r="A106" s="70" t="str">
        <f>+'INV-PO04774'!A11</f>
        <v>TAX ID#. 001.280.264.1-441.000</v>
      </c>
      <c r="B106" s="63"/>
      <c r="C106" s="63"/>
      <c r="D106" s="63"/>
      <c r="E106" s="63"/>
      <c r="F106" s="132"/>
      <c r="G106" s="63"/>
      <c r="H106" s="63"/>
      <c r="I106" s="63"/>
      <c r="J106" s="63"/>
      <c r="K106" s="63"/>
      <c r="L106" s="63"/>
      <c r="M106" s="63"/>
      <c r="N106" s="63"/>
      <c r="O106" s="63"/>
      <c r="P106" s="64"/>
    </row>
    <row r="107" spans="1:16">
      <c r="A107" s="158"/>
      <c r="B107" s="68"/>
      <c r="C107" s="68"/>
      <c r="D107" s="68"/>
      <c r="E107" s="68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4"/>
    </row>
    <row r="108" spans="1:16">
      <c r="A108" s="139" t="s">
        <v>165</v>
      </c>
      <c r="B108" s="71"/>
      <c r="C108" s="71"/>
      <c r="D108" s="71"/>
      <c r="E108" s="71"/>
      <c r="F108" s="48" t="s">
        <v>166</v>
      </c>
      <c r="G108" s="71"/>
      <c r="H108" s="71"/>
      <c r="I108" s="71"/>
      <c r="J108" s="71"/>
      <c r="K108" s="71"/>
      <c r="L108" s="71"/>
      <c r="M108" s="71"/>
      <c r="N108" s="71"/>
      <c r="O108" s="71"/>
      <c r="P108" s="72"/>
    </row>
    <row r="109" spans="1:16" ht="15" customHeight="1">
      <c r="A109" s="62" t="s">
        <v>167</v>
      </c>
      <c r="B109" s="63"/>
      <c r="C109" s="63"/>
      <c r="D109" s="63"/>
      <c r="E109" s="63"/>
      <c r="F109" s="75" t="s">
        <v>168</v>
      </c>
      <c r="N109" s="159" t="s">
        <v>169</v>
      </c>
      <c r="P109" s="61"/>
    </row>
    <row r="110" spans="1:16">
      <c r="A110" s="158"/>
      <c r="B110" s="68"/>
      <c r="C110" s="68"/>
      <c r="D110" s="68"/>
      <c r="E110" s="68"/>
      <c r="F110" s="80"/>
      <c r="G110" s="81"/>
      <c r="H110" s="81"/>
      <c r="I110" s="81"/>
      <c r="J110" s="81"/>
      <c r="K110" s="81"/>
      <c r="L110" s="81"/>
      <c r="M110" s="81"/>
      <c r="N110" s="81"/>
      <c r="O110" s="81"/>
      <c r="P110" s="82"/>
    </row>
    <row r="111" spans="1:16" ht="15" customHeight="1">
      <c r="A111" s="139" t="s">
        <v>170</v>
      </c>
      <c r="B111" s="71"/>
      <c r="C111" s="71"/>
      <c r="D111" s="71"/>
      <c r="E111" s="71"/>
      <c r="K111" s="48" t="s">
        <v>171</v>
      </c>
      <c r="L111" s="71"/>
      <c r="M111" s="71"/>
      <c r="N111" s="71"/>
      <c r="O111" s="71"/>
      <c r="P111" s="72"/>
    </row>
    <row r="112" spans="1:16" ht="16.5" customHeight="1">
      <c r="A112" s="70" t="s">
        <v>172</v>
      </c>
      <c r="K112" s="75" t="s">
        <v>173</v>
      </c>
      <c r="P112" s="61"/>
    </row>
    <row r="113" spans="1:16" ht="9" customHeight="1">
      <c r="A113" s="70"/>
      <c r="K113" s="75"/>
      <c r="P113" s="61"/>
    </row>
    <row r="114" spans="1:16" ht="12.75" customHeight="1">
      <c r="A114" s="70"/>
      <c r="B114" s="45" t="s">
        <v>174</v>
      </c>
      <c r="K114" s="75" t="s">
        <v>175</v>
      </c>
      <c r="P114" s="61"/>
    </row>
    <row r="115" spans="1:16" ht="16.5" customHeight="1">
      <c r="A115" s="70"/>
      <c r="B115" s="45" t="s">
        <v>176</v>
      </c>
      <c r="K115" s="75" t="s">
        <v>177</v>
      </c>
      <c r="P115" s="61"/>
    </row>
    <row r="116" spans="1:16" ht="14.25" customHeight="1">
      <c r="A116" s="70"/>
      <c r="B116" s="45" t="s">
        <v>178</v>
      </c>
      <c r="K116" s="75" t="s">
        <v>179</v>
      </c>
      <c r="P116" s="61"/>
    </row>
    <row r="117" spans="1:16" ht="16.5" customHeight="1">
      <c r="A117" s="70"/>
      <c r="B117" s="45" t="s">
        <v>180</v>
      </c>
      <c r="K117" s="75" t="s">
        <v>181</v>
      </c>
      <c r="P117" s="61"/>
    </row>
    <row r="118" spans="1:16" ht="14.25" customHeight="1">
      <c r="A118" s="70"/>
      <c r="B118" s="45" t="s">
        <v>182</v>
      </c>
      <c r="K118" s="75"/>
      <c r="P118" s="61"/>
    </row>
    <row r="119" spans="1:16" ht="11.25" customHeight="1">
      <c r="A119" s="154"/>
      <c r="B119" s="160"/>
      <c r="C119" s="160"/>
      <c r="D119" s="160"/>
      <c r="E119" s="160"/>
      <c r="F119" s="160"/>
      <c r="G119" s="160"/>
      <c r="H119" s="160"/>
      <c r="I119" s="160"/>
      <c r="J119" s="81"/>
      <c r="K119" s="80"/>
      <c r="L119" s="81"/>
      <c r="M119" s="81"/>
      <c r="N119" s="81"/>
      <c r="O119" s="81"/>
      <c r="P119" s="82"/>
    </row>
    <row r="120" spans="1:16" ht="3" customHeight="1">
      <c r="A120" s="70"/>
      <c r="K120" s="75"/>
      <c r="P120" s="61"/>
    </row>
    <row r="121" spans="1:16" ht="15" customHeight="1">
      <c r="A121" s="70"/>
      <c r="B121" s="45" t="s">
        <v>183</v>
      </c>
      <c r="K121" s="75"/>
      <c r="P121" s="61"/>
    </row>
    <row r="122" spans="1:16" ht="18" customHeight="1">
      <c r="A122" s="70"/>
      <c r="B122" s="45" t="s">
        <v>184</v>
      </c>
      <c r="K122" s="75" t="s">
        <v>185</v>
      </c>
      <c r="P122" s="61"/>
    </row>
    <row r="123" spans="1:16" ht="18" customHeight="1">
      <c r="A123" s="70"/>
      <c r="B123" s="45" t="s">
        <v>186</v>
      </c>
      <c r="K123" s="75" t="s">
        <v>187</v>
      </c>
      <c r="P123" s="61"/>
    </row>
    <row r="124" spans="1:16" ht="18" customHeight="1">
      <c r="A124" s="70"/>
      <c r="B124" s="45" t="s">
        <v>188</v>
      </c>
      <c r="K124" s="75" t="s">
        <v>189</v>
      </c>
      <c r="P124" s="61"/>
    </row>
    <row r="125" spans="1:16" ht="12" customHeight="1">
      <c r="A125" s="154"/>
      <c r="B125" s="68"/>
      <c r="C125" s="68"/>
      <c r="D125" s="68"/>
      <c r="E125" s="68"/>
      <c r="F125" s="68"/>
      <c r="G125" s="68"/>
      <c r="H125" s="68"/>
      <c r="I125" s="68"/>
      <c r="J125" s="81"/>
      <c r="K125" s="80" t="s">
        <v>190</v>
      </c>
      <c r="L125" s="81"/>
      <c r="M125" s="81"/>
      <c r="N125" s="81"/>
      <c r="O125" s="81"/>
      <c r="P125" s="82"/>
    </row>
    <row r="126" spans="1:16" ht="3" customHeight="1">
      <c r="A126" s="70"/>
      <c r="K126" s="75"/>
      <c r="P126" s="61"/>
    </row>
    <row r="127" spans="1:16" ht="14.25" customHeight="1">
      <c r="A127" s="70"/>
      <c r="B127" s="45" t="s">
        <v>191</v>
      </c>
      <c r="K127" s="75"/>
      <c r="P127" s="61"/>
    </row>
    <row r="128" spans="1:16" ht="12.75" customHeight="1">
      <c r="A128" s="70"/>
      <c r="B128" s="45" t="s">
        <v>192</v>
      </c>
      <c r="K128" s="75"/>
      <c r="P128" s="61"/>
    </row>
    <row r="129" spans="1:16" ht="12" customHeight="1">
      <c r="A129" s="154"/>
      <c r="B129" s="68"/>
      <c r="C129" s="68"/>
      <c r="D129" s="68"/>
      <c r="E129" s="68"/>
      <c r="F129" s="68"/>
      <c r="G129" s="68"/>
      <c r="H129" s="68"/>
      <c r="I129" s="68"/>
      <c r="J129" s="81"/>
      <c r="K129" s="80"/>
      <c r="L129" s="81"/>
      <c r="M129" s="81"/>
      <c r="N129" s="81"/>
      <c r="O129" s="81"/>
      <c r="P129" s="82"/>
    </row>
    <row r="130" spans="1:16">
      <c r="A130" s="154"/>
      <c r="B130" s="81"/>
      <c r="C130" s="81"/>
      <c r="D130" s="81"/>
      <c r="E130" s="81"/>
      <c r="F130" s="81"/>
      <c r="G130" s="81"/>
      <c r="H130" s="81"/>
      <c r="I130" s="81"/>
      <c r="J130" s="81"/>
      <c r="K130" s="80"/>
      <c r="L130" s="81"/>
      <c r="M130" s="81"/>
      <c r="N130" s="81"/>
      <c r="O130" s="81"/>
      <c r="P130" s="82"/>
    </row>
    <row r="131" spans="1:16">
      <c r="A131" s="85" t="s">
        <v>193</v>
      </c>
      <c r="B131" s="161"/>
      <c r="C131" s="161"/>
      <c r="D131" s="161"/>
      <c r="E131" s="161"/>
      <c r="F131" s="161"/>
      <c r="G131" s="161"/>
      <c r="H131" s="161"/>
      <c r="I131" s="161"/>
      <c r="J131" s="161"/>
      <c r="K131" s="162" t="s">
        <v>194</v>
      </c>
      <c r="L131" s="162"/>
      <c r="M131" s="162"/>
      <c r="N131" s="162"/>
      <c r="O131" s="162"/>
      <c r="P131" s="163"/>
    </row>
  </sheetData>
  <mergeCells count="56"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77:J7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86:J86"/>
    <mergeCell ref="H87:J87"/>
    <mergeCell ref="H88:J88"/>
    <mergeCell ref="H83:J83"/>
    <mergeCell ref="H84:J84"/>
    <mergeCell ref="H85:J85"/>
    <mergeCell ref="H78:J78"/>
    <mergeCell ref="H79:J79"/>
    <mergeCell ref="H80:J80"/>
    <mergeCell ref="H81:J81"/>
    <mergeCell ref="H82:J82"/>
  </mergeCells>
  <pageMargins left="0.31496062992125984" right="0.31496062992125984" top="0.55118110236220474" bottom="0.39370078740157483" header="0.31496062992125984" footer="0.31496062992125984"/>
  <pageSetup paperSize="9" scale="50" orientation="portrait" r:id="rId1"/>
  <headerFooter alignWithMargins="0">
    <oddFooter>&amp;C&amp;"Calibri,Regular"Page &amp;P of &amp;N</oddFooter>
  </headerFooter>
  <rowBreaks count="2" manualBreakCount="2">
    <brk id="57" max="15" man="1"/>
    <brk id="84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workbookViewId="0"/>
  </sheetViews>
  <sheetFormatPr defaultColWidth="12.5703125" defaultRowHeight="15" customHeight="1"/>
  <cols>
    <col min="1" max="1" width="16.42578125" customWidth="1"/>
    <col min="2" max="2" width="50.42578125" customWidth="1"/>
    <col min="3" max="26" width="8.5703125" customWidth="1"/>
  </cols>
  <sheetData>
    <row r="1" spans="1:13" ht="14.25" customHeight="1"/>
    <row r="2" spans="1:13" ht="14.25" customHeight="1">
      <c r="A2" s="657" t="s">
        <v>32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</row>
    <row r="3" spans="1:13" ht="14.25" customHeight="1"/>
    <row r="4" spans="1:13" ht="14.25" customHeight="1">
      <c r="A4" s="3" t="s">
        <v>23</v>
      </c>
      <c r="B4" s="6" t="s">
        <v>33</v>
      </c>
    </row>
    <row r="5" spans="1:13" ht="14.25" customHeight="1">
      <c r="A5" s="3" t="s">
        <v>34</v>
      </c>
      <c r="B5" s="2" t="s">
        <v>35</v>
      </c>
    </row>
    <row r="6" spans="1:13" ht="14.25" customHeight="1">
      <c r="A6" s="3" t="s">
        <v>36</v>
      </c>
      <c r="B6" s="2" t="s">
        <v>37</v>
      </c>
    </row>
    <row r="7" spans="1:13" ht="14.25" customHeight="1">
      <c r="A7" s="3" t="s">
        <v>1</v>
      </c>
      <c r="B7" s="2" t="s">
        <v>38</v>
      </c>
      <c r="M7" s="7"/>
    </row>
    <row r="8" spans="1:13" ht="14.25" customHeight="1">
      <c r="A8" s="3" t="s">
        <v>26</v>
      </c>
      <c r="B8" s="2" t="s">
        <v>39</v>
      </c>
    </row>
    <row r="9" spans="1:13" ht="14.25" customHeight="1">
      <c r="A9" s="3" t="s">
        <v>27</v>
      </c>
      <c r="B9" s="2" t="s">
        <v>40</v>
      </c>
    </row>
    <row r="10" spans="1:13" ht="14.25" customHeight="1">
      <c r="A10" s="3" t="s">
        <v>3</v>
      </c>
      <c r="B10" s="6" t="s">
        <v>41</v>
      </c>
      <c r="H10" s="8"/>
    </row>
    <row r="11" spans="1:13" ht="14.25" customHeight="1">
      <c r="A11" s="3" t="s">
        <v>2</v>
      </c>
      <c r="B11" s="6" t="s">
        <v>42</v>
      </c>
      <c r="C11" s="9"/>
      <c r="D11" s="1"/>
      <c r="E11" s="9"/>
      <c r="F11" s="9"/>
      <c r="G11" s="1"/>
      <c r="H11" s="8"/>
      <c r="I11" s="1"/>
      <c r="J11" s="1"/>
      <c r="K11" s="9"/>
      <c r="L11" s="9"/>
      <c r="M11" s="9"/>
    </row>
    <row r="12" spans="1:13" ht="14.25" customHeight="1">
      <c r="A12" s="3" t="s">
        <v>4</v>
      </c>
      <c r="B12" s="2" t="s">
        <v>43</v>
      </c>
    </row>
    <row r="13" spans="1:13" ht="14.25" customHeight="1">
      <c r="A13" s="3" t="s">
        <v>0</v>
      </c>
      <c r="B13" s="6" t="s">
        <v>44</v>
      </c>
    </row>
    <row r="14" spans="1:13" ht="14.25" customHeight="1">
      <c r="A14" s="10" t="s">
        <v>45</v>
      </c>
      <c r="B14" s="6" t="s">
        <v>45</v>
      </c>
    </row>
    <row r="15" spans="1:13" ht="14.25" customHeight="1">
      <c r="A15" s="10" t="s">
        <v>46</v>
      </c>
      <c r="B15" s="6" t="s">
        <v>47</v>
      </c>
    </row>
    <row r="16" spans="1:13" ht="14.25" customHeight="1">
      <c r="A16" s="10" t="s">
        <v>30</v>
      </c>
      <c r="B16" s="6" t="s">
        <v>48</v>
      </c>
    </row>
    <row r="17" spans="1:7" ht="14.25" customHeight="1">
      <c r="A17" s="3"/>
      <c r="B17" s="1"/>
    </row>
    <row r="18" spans="1:7" ht="14.25" customHeight="1">
      <c r="C18" s="1"/>
    </row>
    <row r="19" spans="1:7" ht="14.25" customHeight="1">
      <c r="A19" s="11"/>
      <c r="B19" s="6"/>
    </row>
    <row r="20" spans="1:7" ht="14.25" customHeight="1"/>
    <row r="21" spans="1:7" ht="14.25" customHeight="1">
      <c r="A21" s="8"/>
    </row>
    <row r="22" spans="1:7" ht="14.25" customHeight="1">
      <c r="A22" s="12"/>
    </row>
    <row r="23" spans="1:7" ht="14.25" customHeight="1">
      <c r="A23" s="12"/>
    </row>
    <row r="24" spans="1:7" ht="14.25" customHeight="1">
      <c r="G24" s="6"/>
    </row>
    <row r="25" spans="1:7" ht="14.25" customHeight="1">
      <c r="G25" s="6"/>
    </row>
    <row r="26" spans="1:7" ht="14.25" customHeight="1">
      <c r="G26" s="6"/>
    </row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K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10</vt:i4>
      </vt:variant>
    </vt:vector>
  </HeadingPairs>
  <TitlesOfParts>
    <vt:vector size="16" baseType="lpstr">
      <vt:lpstr>INV-PO04774</vt:lpstr>
      <vt:lpstr>PL-PO04774</vt:lpstr>
      <vt:lpstr>INV-PO04786</vt:lpstr>
      <vt:lpstr>PL-PO04786</vt:lpstr>
      <vt:lpstr>CCI</vt:lpstr>
      <vt:lpstr>Instructions</vt:lpstr>
      <vt:lpstr>CCI!Print_Area</vt:lpstr>
      <vt:lpstr>'INV-PO04774'!Print_Area</vt:lpstr>
      <vt:lpstr>'INV-PO04786'!Print_Area</vt:lpstr>
      <vt:lpstr>'PL-PO04774'!Print_Area</vt:lpstr>
      <vt:lpstr>'PL-PO04786'!Print_Area</vt:lpstr>
      <vt:lpstr>CCI!Print_Titles</vt:lpstr>
      <vt:lpstr>'INV-PO04774'!Print_Titles</vt:lpstr>
      <vt:lpstr>'INV-PO04786'!Print_Titles</vt:lpstr>
      <vt:lpstr>'PL-PO04774'!Print_Titles</vt:lpstr>
      <vt:lpstr>'PL-PO04786'!Print_Titles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Berger</dc:creator>
  <cp:lastModifiedBy>Anny W</cp:lastModifiedBy>
  <cp:lastPrinted>2026-05-11T05:42:11Z</cp:lastPrinted>
  <dcterms:created xsi:type="dcterms:W3CDTF">2025-02-25T16:22:20Z</dcterms:created>
  <dcterms:modified xsi:type="dcterms:W3CDTF">2026-05-12T03:30:26Z</dcterms:modified>
</cp:coreProperties>
</file>